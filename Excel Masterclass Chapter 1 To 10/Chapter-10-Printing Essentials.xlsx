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Excel\Excel Masterclass Chapter 1 To 10\Excel Masterclass Chapter 1 To 10\"/>
    </mc:Choice>
  </mc:AlternateContent>
  <xr:revisionPtr revIDLastSave="0" documentId="13_ncr:1_{09110549-330E-43AA-893F-CDCFF76D3EDD}" xr6:coauthVersionLast="47" xr6:coauthVersionMax="47" xr10:uidLastSave="{00000000-0000-0000-0000-000000000000}"/>
  <bookViews>
    <workbookView xWindow="-108" yWindow="-108" windowWidth="23256" windowHeight="12456" activeTab="2" xr2:uid="{D87EA80B-F92A-4772-8789-58DB20E5E2DE}"/>
  </bookViews>
  <sheets>
    <sheet name="2023" sheetId="2" r:id="rId1"/>
    <sheet name="2024" sheetId="1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2" l="1"/>
  <c r="G100" i="2"/>
  <c r="H99" i="2"/>
  <c r="I99" i="2" s="1"/>
  <c r="G99" i="2"/>
  <c r="G98" i="2"/>
  <c r="H98" i="2" s="1"/>
  <c r="G97" i="2"/>
  <c r="G96" i="2"/>
  <c r="H96" i="2" s="1"/>
  <c r="I96" i="2" s="1"/>
  <c r="G95" i="2"/>
  <c r="G94" i="2"/>
  <c r="H94" i="2" s="1"/>
  <c r="G93" i="2"/>
  <c r="G92" i="2"/>
  <c r="H91" i="2"/>
  <c r="I91" i="2" s="1"/>
  <c r="G91" i="2"/>
  <c r="G90" i="2"/>
  <c r="G89" i="2"/>
  <c r="G88" i="2"/>
  <c r="H88" i="2" s="1"/>
  <c r="I88" i="2" s="1"/>
  <c r="G87" i="2"/>
  <c r="G86" i="2"/>
  <c r="H86" i="2" s="1"/>
  <c r="G85" i="2"/>
  <c r="G84" i="2"/>
  <c r="H83" i="2"/>
  <c r="I83" i="2" s="1"/>
  <c r="G83" i="2"/>
  <c r="G82" i="2"/>
  <c r="G81" i="2"/>
  <c r="H81" i="2" s="1"/>
  <c r="G80" i="2"/>
  <c r="H80" i="2" s="1"/>
  <c r="I80" i="2" s="1"/>
  <c r="G79" i="2"/>
  <c r="G78" i="2"/>
  <c r="H78" i="2" s="1"/>
  <c r="G77" i="2"/>
  <c r="G76" i="2"/>
  <c r="H75" i="2"/>
  <c r="I75" i="2" s="1"/>
  <c r="G75" i="2"/>
  <c r="G74" i="2"/>
  <c r="H74" i="2" s="1"/>
  <c r="G73" i="2"/>
  <c r="H73" i="2" s="1"/>
  <c r="G72" i="2"/>
  <c r="H72" i="2" s="1"/>
  <c r="I72" i="2" s="1"/>
  <c r="G71" i="2"/>
  <c r="H71" i="2" s="1"/>
  <c r="G70" i="2"/>
  <c r="H70" i="2" s="1"/>
  <c r="G69" i="2"/>
  <c r="G68" i="2"/>
  <c r="H67" i="2"/>
  <c r="I67" i="2" s="1"/>
  <c r="G67" i="2"/>
  <c r="G66" i="2"/>
  <c r="G65" i="2"/>
  <c r="H65" i="2" s="1"/>
  <c r="G64" i="2"/>
  <c r="H64" i="2" s="1"/>
  <c r="I64" i="2" s="1"/>
  <c r="G63" i="2"/>
  <c r="G62" i="2"/>
  <c r="H62" i="2" s="1"/>
  <c r="G61" i="2"/>
  <c r="G60" i="2"/>
  <c r="H59" i="2"/>
  <c r="I59" i="2" s="1"/>
  <c r="G59" i="2"/>
  <c r="G58" i="2"/>
  <c r="H58" i="2" s="1"/>
  <c r="G57" i="2"/>
  <c r="G56" i="2"/>
  <c r="H56" i="2" s="1"/>
  <c r="I56" i="2" s="1"/>
  <c r="G55" i="2"/>
  <c r="G54" i="2"/>
  <c r="H54" i="2" s="1"/>
  <c r="G53" i="2"/>
  <c r="G52" i="2"/>
  <c r="G51" i="3"/>
  <c r="G50" i="3"/>
  <c r="G49" i="3"/>
  <c r="G48" i="3"/>
  <c r="G47" i="3"/>
  <c r="G46" i="3"/>
  <c r="G45" i="3"/>
  <c r="G44" i="3"/>
  <c r="G43" i="3"/>
  <c r="G42" i="3"/>
  <c r="G41" i="3"/>
  <c r="H40" i="3"/>
  <c r="G40" i="3"/>
  <c r="I40" i="3" s="1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H24" i="3"/>
  <c r="G24" i="3"/>
  <c r="I24" i="3" s="1"/>
  <c r="G23" i="3"/>
  <c r="G22" i="3"/>
  <c r="H22" i="3" s="1"/>
  <c r="I22" i="3" s="1"/>
  <c r="G21" i="3"/>
  <c r="G20" i="3"/>
  <c r="H19" i="3"/>
  <c r="G19" i="3"/>
  <c r="I19" i="3" s="1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H4" i="3" s="1"/>
  <c r="I4" i="3" s="1"/>
  <c r="G3" i="3"/>
  <c r="G2" i="3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I85" i="2" l="1"/>
  <c r="I92" i="2"/>
  <c r="I82" i="2"/>
  <c r="I61" i="2"/>
  <c r="I77" i="2"/>
  <c r="I100" i="2"/>
  <c r="I68" i="2"/>
  <c r="I84" i="2"/>
  <c r="I93" i="2"/>
  <c r="I87" i="2"/>
  <c r="I54" i="2"/>
  <c r="I62" i="2"/>
  <c r="I70" i="2"/>
  <c r="I78" i="2"/>
  <c r="I86" i="2"/>
  <c r="H97" i="2"/>
  <c r="I97" i="2" s="1"/>
  <c r="H52" i="2"/>
  <c r="I52" i="2" s="1"/>
  <c r="H68" i="2"/>
  <c r="I73" i="2"/>
  <c r="I81" i="2"/>
  <c r="H92" i="2"/>
  <c r="H87" i="2"/>
  <c r="H89" i="2"/>
  <c r="I89" i="2" s="1"/>
  <c r="I94" i="2"/>
  <c r="H60" i="2"/>
  <c r="I60" i="2" s="1"/>
  <c r="I65" i="2"/>
  <c r="H84" i="2"/>
  <c r="H100" i="2"/>
  <c r="H55" i="2"/>
  <c r="I55" i="2" s="1"/>
  <c r="H63" i="2"/>
  <c r="I63" i="2" s="1"/>
  <c r="H79" i="2"/>
  <c r="I79" i="2" s="1"/>
  <c r="H95" i="2"/>
  <c r="I95" i="2" s="1"/>
  <c r="H66" i="2"/>
  <c r="I66" i="2" s="1"/>
  <c r="I71" i="2"/>
  <c r="H82" i="2"/>
  <c r="H90" i="2"/>
  <c r="I90" i="2" s="1"/>
  <c r="H53" i="2"/>
  <c r="I53" i="2" s="1"/>
  <c r="I58" i="2"/>
  <c r="H61" i="2"/>
  <c r="H69" i="2"/>
  <c r="I69" i="2" s="1"/>
  <c r="I74" i="2"/>
  <c r="H77" i="2"/>
  <c r="H85" i="2"/>
  <c r="H93" i="2"/>
  <c r="I98" i="2"/>
  <c r="H101" i="2"/>
  <c r="I101" i="2" s="1"/>
  <c r="H57" i="2"/>
  <c r="I57" i="2" s="1"/>
  <c r="H76" i="2"/>
  <c r="I76" i="2" s="1"/>
  <c r="H51" i="3"/>
  <c r="I51" i="3" s="1"/>
  <c r="H50" i="3"/>
  <c r="I50" i="3" s="1"/>
  <c r="H49" i="3"/>
  <c r="I49" i="3" s="1"/>
  <c r="H48" i="3"/>
  <c r="I48" i="3" s="1"/>
  <c r="H47" i="3"/>
  <c r="I47" i="3" s="1"/>
  <c r="I46" i="3"/>
  <c r="H46" i="3"/>
  <c r="H45" i="3"/>
  <c r="I45" i="3" s="1"/>
  <c r="H44" i="3"/>
  <c r="I44" i="3" s="1"/>
  <c r="H43" i="3"/>
  <c r="I43" i="3" s="1"/>
  <c r="H42" i="3"/>
  <c r="I42" i="3" s="1"/>
  <c r="H41" i="3"/>
  <c r="I41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I31" i="3"/>
  <c r="H31" i="3"/>
  <c r="H30" i="3"/>
  <c r="I30" i="3"/>
  <c r="H29" i="3"/>
  <c r="I29" i="3" s="1"/>
  <c r="H28" i="3"/>
  <c r="I28" i="3"/>
  <c r="H27" i="3"/>
  <c r="I27" i="3" s="1"/>
  <c r="H26" i="3"/>
  <c r="I26" i="3" s="1"/>
  <c r="H25" i="3"/>
  <c r="I25" i="3" s="1"/>
  <c r="H23" i="3"/>
  <c r="I23" i="3"/>
  <c r="H21" i="3"/>
  <c r="I21" i="3" s="1"/>
  <c r="H20" i="3"/>
  <c r="I20" i="3" s="1"/>
  <c r="H18" i="3"/>
  <c r="I18" i="3" s="1"/>
  <c r="H17" i="3"/>
  <c r="I17" i="3" s="1"/>
  <c r="H16" i="3"/>
  <c r="I16" i="3" s="1"/>
  <c r="H15" i="3"/>
  <c r="I15" i="3" s="1"/>
  <c r="H14" i="3"/>
  <c r="I14" i="3"/>
  <c r="H13" i="3"/>
  <c r="I13" i="3" s="1"/>
  <c r="H12" i="3"/>
  <c r="I12" i="3" s="1"/>
  <c r="H11" i="3"/>
  <c r="I11" i="3"/>
  <c r="H10" i="3"/>
  <c r="I10" i="3"/>
  <c r="H9" i="3"/>
  <c r="I9" i="3"/>
  <c r="H8" i="3"/>
  <c r="I8" i="3"/>
  <c r="H7" i="3"/>
  <c r="I7" i="3"/>
  <c r="H6" i="3"/>
  <c r="I6" i="3" s="1"/>
  <c r="H5" i="3"/>
  <c r="I5" i="3" s="1"/>
  <c r="H3" i="3"/>
  <c r="I3" i="3" s="1"/>
  <c r="H2" i="3"/>
  <c r="I2" i="3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/>
  <c r="H28" i="2"/>
  <c r="I28" i="2" s="1"/>
  <c r="H27" i="2"/>
  <c r="I27" i="2" s="1"/>
  <c r="H26" i="2"/>
  <c r="I26" i="2" s="1"/>
  <c r="H25" i="2"/>
  <c r="I25" i="2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/>
  <c r="H12" i="2"/>
  <c r="I12" i="2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</calcChain>
</file>

<file path=xl/sharedStrings.xml><?xml version="1.0" encoding="utf-8"?>
<sst xmlns="http://schemas.openxmlformats.org/spreadsheetml/2006/main" count="577" uniqueCount="77">
  <si>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</si>
  <si>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</si>
  <si>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</si>
  <si>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</si>
  <si>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</si>
  <si>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</si>
  <si>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</si>
  <si>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</si>
  <si>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Sneha</t>
  </si>
  <si>
    <t>Tablet</t>
  </si>
  <si>
    <t>T048</t>
  </si>
  <si>
    <t>Karan</t>
  </si>
  <si>
    <t>Monitor</t>
  </si>
  <si>
    <t>T030</t>
  </si>
  <si>
    <t>Amit</t>
  </si>
  <si>
    <t>Webcam</t>
  </si>
  <si>
    <t>T036</t>
  </si>
  <si>
    <t>Priya</t>
  </si>
  <si>
    <t>T018</t>
  </si>
  <si>
    <t>Neha</t>
  </si>
  <si>
    <t>T006</t>
  </si>
  <si>
    <t>Headphones</t>
  </si>
  <si>
    <t>T005</t>
  </si>
  <si>
    <t>T044</t>
  </si>
  <si>
    <t>Anita</t>
  </si>
  <si>
    <t>T034</t>
  </si>
  <si>
    <t>Laptop</t>
  </si>
  <si>
    <t>T046</t>
  </si>
  <si>
    <t>T002</t>
  </si>
  <si>
    <t>Keyboard</t>
  </si>
  <si>
    <t>T016</t>
  </si>
  <si>
    <t>T026</t>
  </si>
  <si>
    <t>Rahul</t>
  </si>
  <si>
    <t>Mouse</t>
  </si>
  <si>
    <t>T004</t>
  </si>
  <si>
    <t>T043</t>
  </si>
  <si>
    <t>Printer</t>
  </si>
  <si>
    <t>T022</t>
  </si>
  <si>
    <t>Vikram</t>
  </si>
  <si>
    <t>T001</t>
  </si>
  <si>
    <t>Pooja</t>
  </si>
  <si>
    <t>T037</t>
  </si>
  <si>
    <t>T039</t>
  </si>
  <si>
    <t>T009</t>
  </si>
  <si>
    <t>T032</t>
  </si>
  <si>
    <t>T003</t>
  </si>
  <si>
    <t>T020</t>
  </si>
  <si>
    <t>T033</t>
  </si>
  <si>
    <t>T023</t>
  </si>
  <si>
    <t>T040</t>
  </si>
  <si>
    <t>T047</t>
  </si>
  <si>
    <t>T025</t>
  </si>
  <si>
    <t>T042</t>
  </si>
  <si>
    <t>T049</t>
  </si>
  <si>
    <t>T045</t>
  </si>
  <si>
    <t>T024</t>
  </si>
  <si>
    <t>T031</t>
  </si>
  <si>
    <t>T019</t>
  </si>
  <si>
    <t>T029</t>
  </si>
  <si>
    <t>T021</t>
  </si>
  <si>
    <t>T012</t>
  </si>
  <si>
    <t>T013</t>
  </si>
  <si>
    <t>T010</t>
  </si>
  <si>
    <t>T041</t>
  </si>
  <si>
    <t>T035</t>
  </si>
  <si>
    <t>T028</t>
  </si>
  <si>
    <t>T008</t>
  </si>
  <si>
    <t>T017</t>
  </si>
  <si>
    <t>T014</t>
  </si>
  <si>
    <t>T007</t>
  </si>
  <si>
    <t>T015</t>
  </si>
  <si>
    <t>T050</t>
  </si>
  <si>
    <t>T011</t>
  </si>
  <si>
    <t>T027</t>
  </si>
  <si>
    <t>Mon</t>
  </si>
  <si>
    <t>Discount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</si>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</sst>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68FA-F9B9-4A5B-8AE3-9BFBE3176FB1}">
  <dimension ref="A1:I101"/>
  <sheetViews>
    <sheetView zoomScale="145" zoomScaleNormal="145" workbookViewId="0">
      <selection activeCell="C52" sqref="C52"/>
    </sheetView>
  </sheetViews>
  <sheetFormatPr defaultRowHeight="13.8"/>
  <cols>
    <col min="2" max="2" width="10.69921875" bestFit="1" customWidth="1"/>
    <col min="7" max="7" width="9.6992187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75</v>
      </c>
      <c r="I1" s="2" t="s">
        <v>76</v>
      </c>
    </row>
    <row r="2" spans="1:9">
      <c r="A2" t="s">
        <v>7</v>
      </c>
      <c r="B2" s="1">
        <v>45076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>
      <c r="A3" t="s">
        <v>10</v>
      </c>
      <c r="B3" s="1">
        <v>44931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>
      <c r="A4" t="s">
        <v>13</v>
      </c>
      <c r="B4" s="1">
        <v>45218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>
      <c r="A5" t="s">
        <v>16</v>
      </c>
      <c r="B5" s="1">
        <v>45054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>
      <c r="A6" t="s">
        <v>18</v>
      </c>
      <c r="B6" s="1">
        <v>45159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>
      <c r="A7" t="s">
        <v>20</v>
      </c>
      <c r="B7" s="1">
        <v>44944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>
      <c r="A8" t="s">
        <v>22</v>
      </c>
      <c r="B8" s="1">
        <v>45113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>
      <c r="A9" t="s">
        <v>23</v>
      </c>
      <c r="B9" s="1">
        <v>45133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>
      <c r="A10" t="s">
        <v>25</v>
      </c>
      <c r="B10" s="1">
        <v>44949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>
      <c r="A11" t="s">
        <v>27</v>
      </c>
      <c r="B11" s="1">
        <v>45026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>
      <c r="A12" t="s">
        <v>28</v>
      </c>
      <c r="B12" s="1">
        <v>45009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>
      <c r="A13" t="s">
        <v>30</v>
      </c>
      <c r="B13" s="1">
        <v>44936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>
      <c r="A14" t="s">
        <v>31</v>
      </c>
      <c r="B14" s="1">
        <v>44941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>
      <c r="A15" t="s">
        <v>34</v>
      </c>
      <c r="B15" s="1">
        <v>44966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>
      <c r="A16" t="s">
        <v>35</v>
      </c>
      <c r="B16" s="1">
        <v>45188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>
      <c r="A17" t="s">
        <v>37</v>
      </c>
      <c r="B17" s="1">
        <v>44996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>
      <c r="A18" t="s">
        <v>39</v>
      </c>
      <c r="B18" s="1">
        <v>45140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>
      <c r="A19" t="s">
        <v>41</v>
      </c>
      <c r="B19" s="1">
        <v>44953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>
      <c r="A20" t="s">
        <v>42</v>
      </c>
      <c r="B20" s="1">
        <v>45163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>
      <c r="A21" t="s">
        <v>43</v>
      </c>
      <c r="B21" s="1">
        <v>45129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>
      <c r="A22" t="s">
        <v>44</v>
      </c>
      <c r="B22" s="1">
        <v>45208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>
      <c r="A23" t="s">
        <v>45</v>
      </c>
      <c r="B23" s="1">
        <v>45117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>
      <c r="A24" t="s">
        <v>46</v>
      </c>
      <c r="B24" s="1">
        <v>44978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>
      <c r="A25" t="s">
        <v>47</v>
      </c>
      <c r="B25" s="1">
        <v>45184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>
      <c r="A26" t="s">
        <v>48</v>
      </c>
      <c r="B26" s="1">
        <v>45203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>
      <c r="A27" t="s">
        <v>49</v>
      </c>
      <c r="B27" s="1">
        <v>44958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>
      <c r="A28" t="s">
        <v>50</v>
      </c>
      <c r="B28" s="1">
        <v>44957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>
      <c r="A29" t="s">
        <v>51</v>
      </c>
      <c r="B29" s="1">
        <v>44968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>
      <c r="A30" t="s">
        <v>52</v>
      </c>
      <c r="B30" s="1">
        <v>45026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>
      <c r="A31" t="s">
        <v>53</v>
      </c>
      <c r="B31" s="1">
        <v>45129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>
      <c r="A32" t="s">
        <v>54</v>
      </c>
      <c r="B32" s="1">
        <v>44934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>
      <c r="A33" t="s">
        <v>55</v>
      </c>
      <c r="B33" s="1">
        <v>45037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>
      <c r="A34" t="s">
        <v>56</v>
      </c>
      <c r="B34" s="1">
        <v>45069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>
      <c r="A35" t="s">
        <v>57</v>
      </c>
      <c r="B35" s="1">
        <v>44955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>
      <c r="A36" t="s">
        <v>58</v>
      </c>
      <c r="B36" s="1">
        <v>45016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>
      <c r="A37" t="s">
        <v>59</v>
      </c>
      <c r="B37" s="1">
        <v>44945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>
      <c r="A38" t="s">
        <v>60</v>
      </c>
      <c r="B38" s="1">
        <v>45107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>
      <c r="A39" t="s">
        <v>61</v>
      </c>
      <c r="B39" s="1">
        <v>45066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>
      <c r="A40" t="s">
        <v>62</v>
      </c>
      <c r="B40" s="1">
        <v>45208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>
      <c r="A41" t="s">
        <v>63</v>
      </c>
      <c r="B41" s="1">
        <v>45109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>
      <c r="A42" t="s">
        <v>64</v>
      </c>
      <c r="B42" s="1">
        <v>45041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>
      <c r="A43" t="s">
        <v>65</v>
      </c>
      <c r="B43" s="1">
        <v>45004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>
      <c r="A44" t="s">
        <v>66</v>
      </c>
      <c r="B44" s="1">
        <v>44991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>
      <c r="A45" t="s">
        <v>67</v>
      </c>
      <c r="B45" s="1">
        <v>45187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>
      <c r="A46" t="s">
        <v>68</v>
      </c>
      <c r="B46" s="1">
        <v>45101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>
      <c r="A47" t="s">
        <v>69</v>
      </c>
      <c r="B47" s="1">
        <v>44996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>
      <c r="A48" t="s">
        <v>70</v>
      </c>
      <c r="B48" s="1">
        <v>45170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>
      <c r="A49" t="s">
        <v>71</v>
      </c>
      <c r="B49" s="1">
        <v>44940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>
      <c r="A50" t="s">
        <v>72</v>
      </c>
      <c r="B50" s="1">
        <v>45023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>
      <c r="A51" t="s">
        <v>73</v>
      </c>
      <c r="B51" s="1">
        <v>45153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  <row r="52" spans="1:9">
      <c r="A52" t="s">
        <v>7</v>
      </c>
      <c r="B52" s="1">
        <v>45076</v>
      </c>
      <c r="C52" t="s">
        <v>8</v>
      </c>
      <c r="D52" t="s">
        <v>9</v>
      </c>
      <c r="E52">
        <v>3</v>
      </c>
      <c r="F52">
        <v>1764</v>
      </c>
      <c r="G52">
        <f>E52*F52</f>
        <v>5292</v>
      </c>
      <c r="H52">
        <f>G52*5%</f>
        <v>264.60000000000002</v>
      </c>
      <c r="I52">
        <f>G52-H52</f>
        <v>5027.3999999999996</v>
      </c>
    </row>
    <row r="53" spans="1:9">
      <c r="A53" t="s">
        <v>10</v>
      </c>
      <c r="B53" s="1">
        <v>44931</v>
      </c>
      <c r="C53" t="s">
        <v>11</v>
      </c>
      <c r="D53" t="s">
        <v>12</v>
      </c>
      <c r="E53">
        <v>2</v>
      </c>
      <c r="F53">
        <v>3963</v>
      </c>
      <c r="G53">
        <f t="shared" ref="G53:G101" si="3">E53*F53</f>
        <v>7926</v>
      </c>
      <c r="H53">
        <f t="shared" ref="H53:H101" si="4">G53*5%</f>
        <v>396.3</v>
      </c>
      <c r="I53">
        <f t="shared" ref="I53:I101" si="5">G53-H53</f>
        <v>7529.7</v>
      </c>
    </row>
    <row r="54" spans="1:9">
      <c r="A54" t="s">
        <v>13</v>
      </c>
      <c r="B54" s="1">
        <v>45218</v>
      </c>
      <c r="C54" t="s">
        <v>14</v>
      </c>
      <c r="D54" t="s">
        <v>15</v>
      </c>
      <c r="E54">
        <v>2</v>
      </c>
      <c r="F54">
        <v>5389</v>
      </c>
      <c r="G54">
        <f t="shared" si="3"/>
        <v>10778</v>
      </c>
      <c r="H54">
        <f t="shared" si="4"/>
        <v>538.9</v>
      </c>
      <c r="I54">
        <f t="shared" si="5"/>
        <v>10239.1</v>
      </c>
    </row>
    <row r="55" spans="1:9">
      <c r="A55" t="s">
        <v>16</v>
      </c>
      <c r="B55" s="1">
        <v>45054</v>
      </c>
      <c r="C55" t="s">
        <v>17</v>
      </c>
      <c r="D55" t="s">
        <v>9</v>
      </c>
      <c r="E55">
        <v>3</v>
      </c>
      <c r="F55">
        <v>4486</v>
      </c>
      <c r="G55">
        <f t="shared" si="3"/>
        <v>13458</v>
      </c>
      <c r="H55">
        <f t="shared" si="4"/>
        <v>672.90000000000009</v>
      </c>
      <c r="I55">
        <f t="shared" si="5"/>
        <v>12785.1</v>
      </c>
    </row>
    <row r="56" spans="1:9">
      <c r="A56" t="s">
        <v>18</v>
      </c>
      <c r="B56" s="1">
        <v>45159</v>
      </c>
      <c r="C56" t="s">
        <v>19</v>
      </c>
      <c r="D56" t="s">
        <v>9</v>
      </c>
      <c r="E56">
        <v>1</v>
      </c>
      <c r="F56">
        <v>15787</v>
      </c>
      <c r="G56">
        <f t="shared" si="3"/>
        <v>15787</v>
      </c>
      <c r="H56">
        <f t="shared" si="4"/>
        <v>789.35</v>
      </c>
      <c r="I56">
        <f t="shared" si="5"/>
        <v>14997.65</v>
      </c>
    </row>
    <row r="57" spans="1:9">
      <c r="A57" t="s">
        <v>20</v>
      </c>
      <c r="B57" s="1">
        <v>44944</v>
      </c>
      <c r="C57" t="s">
        <v>11</v>
      </c>
      <c r="D57" t="s">
        <v>21</v>
      </c>
      <c r="E57">
        <v>1</v>
      </c>
      <c r="F57">
        <v>20040</v>
      </c>
      <c r="G57">
        <f t="shared" si="3"/>
        <v>20040</v>
      </c>
      <c r="H57">
        <f t="shared" si="4"/>
        <v>1002</v>
      </c>
      <c r="I57">
        <f t="shared" si="5"/>
        <v>19038</v>
      </c>
    </row>
    <row r="58" spans="1:9">
      <c r="A58" t="s">
        <v>22</v>
      </c>
      <c r="B58" s="1">
        <v>45113</v>
      </c>
      <c r="C58" t="s">
        <v>14</v>
      </c>
      <c r="D58" t="s">
        <v>15</v>
      </c>
      <c r="E58">
        <v>1</v>
      </c>
      <c r="F58">
        <v>22955</v>
      </c>
      <c r="G58">
        <f t="shared" si="3"/>
        <v>22955</v>
      </c>
      <c r="H58">
        <f t="shared" si="4"/>
        <v>1147.75</v>
      </c>
      <c r="I58">
        <f t="shared" si="5"/>
        <v>21807.25</v>
      </c>
    </row>
    <row r="59" spans="1:9">
      <c r="A59" t="s">
        <v>23</v>
      </c>
      <c r="B59" s="1">
        <v>45133</v>
      </c>
      <c r="C59" t="s">
        <v>24</v>
      </c>
      <c r="D59" t="s">
        <v>74</v>
      </c>
      <c r="E59">
        <v>1</v>
      </c>
      <c r="F59">
        <v>31617</v>
      </c>
      <c r="G59">
        <f t="shared" si="3"/>
        <v>31617</v>
      </c>
      <c r="H59">
        <f t="shared" si="4"/>
        <v>1580.8500000000001</v>
      </c>
      <c r="I59">
        <f t="shared" si="5"/>
        <v>30036.15</v>
      </c>
    </row>
    <row r="60" spans="1:9">
      <c r="A60" t="s">
        <v>25</v>
      </c>
      <c r="B60" s="1">
        <v>44949</v>
      </c>
      <c r="C60" t="s">
        <v>8</v>
      </c>
      <c r="D60" t="s">
        <v>26</v>
      </c>
      <c r="E60">
        <v>2</v>
      </c>
      <c r="F60">
        <v>18344</v>
      </c>
      <c r="G60">
        <f t="shared" si="3"/>
        <v>36688</v>
      </c>
      <c r="H60">
        <f t="shared" si="4"/>
        <v>1834.4</v>
      </c>
      <c r="I60">
        <f t="shared" si="5"/>
        <v>34853.599999999999</v>
      </c>
    </row>
    <row r="61" spans="1:9">
      <c r="A61" t="s">
        <v>27</v>
      </c>
      <c r="B61" s="1">
        <v>45026</v>
      </c>
      <c r="C61" t="s">
        <v>19</v>
      </c>
      <c r="D61" t="s">
        <v>21</v>
      </c>
      <c r="E61">
        <v>1</v>
      </c>
      <c r="F61">
        <v>38182</v>
      </c>
      <c r="G61">
        <f t="shared" si="3"/>
        <v>38182</v>
      </c>
      <c r="H61">
        <f t="shared" si="4"/>
        <v>1909.1000000000001</v>
      </c>
      <c r="I61">
        <f t="shared" si="5"/>
        <v>36272.9</v>
      </c>
    </row>
    <row r="62" spans="1:9">
      <c r="A62" t="s">
        <v>28</v>
      </c>
      <c r="B62" s="1">
        <v>45009</v>
      </c>
      <c r="C62" t="s">
        <v>11</v>
      </c>
      <c r="D62" t="s">
        <v>29</v>
      </c>
      <c r="E62">
        <v>1</v>
      </c>
      <c r="F62">
        <v>39672</v>
      </c>
      <c r="G62">
        <f t="shared" si="3"/>
        <v>39672</v>
      </c>
      <c r="H62">
        <f t="shared" si="4"/>
        <v>1983.6000000000001</v>
      </c>
      <c r="I62">
        <f t="shared" si="5"/>
        <v>37688.400000000001</v>
      </c>
    </row>
    <row r="63" spans="1:9">
      <c r="A63" t="s">
        <v>30</v>
      </c>
      <c r="B63" s="1">
        <v>44936</v>
      </c>
      <c r="C63" t="s">
        <v>17</v>
      </c>
      <c r="D63" t="s">
        <v>9</v>
      </c>
      <c r="E63">
        <v>2</v>
      </c>
      <c r="F63">
        <v>20241</v>
      </c>
      <c r="G63">
        <f t="shared" si="3"/>
        <v>40482</v>
      </c>
      <c r="H63">
        <f t="shared" si="4"/>
        <v>2024.1000000000001</v>
      </c>
      <c r="I63">
        <f t="shared" si="5"/>
        <v>38457.9</v>
      </c>
    </row>
    <row r="64" spans="1:9">
      <c r="A64" t="s">
        <v>31</v>
      </c>
      <c r="B64" s="1">
        <v>44941</v>
      </c>
      <c r="C64" t="s">
        <v>32</v>
      </c>
      <c r="D64" t="s">
        <v>33</v>
      </c>
      <c r="E64">
        <v>5</v>
      </c>
      <c r="F64">
        <v>8381</v>
      </c>
      <c r="G64">
        <f t="shared" si="3"/>
        <v>41905</v>
      </c>
      <c r="H64">
        <f t="shared" si="4"/>
        <v>2095.25</v>
      </c>
      <c r="I64">
        <f t="shared" si="5"/>
        <v>39809.75</v>
      </c>
    </row>
    <row r="65" spans="1:9">
      <c r="A65" t="s">
        <v>34</v>
      </c>
      <c r="B65" s="1">
        <v>44966</v>
      </c>
      <c r="C65" t="s">
        <v>32</v>
      </c>
      <c r="D65" t="s">
        <v>33</v>
      </c>
      <c r="E65">
        <v>5</v>
      </c>
      <c r="F65">
        <v>9236</v>
      </c>
      <c r="G65">
        <f t="shared" si="3"/>
        <v>46180</v>
      </c>
      <c r="H65">
        <f t="shared" si="4"/>
        <v>2309</v>
      </c>
      <c r="I65">
        <f t="shared" si="5"/>
        <v>43871</v>
      </c>
    </row>
    <row r="66" spans="1:9">
      <c r="A66" t="s">
        <v>35</v>
      </c>
      <c r="B66" s="1">
        <v>45188</v>
      </c>
      <c r="C66" t="s">
        <v>11</v>
      </c>
      <c r="D66" t="s">
        <v>36</v>
      </c>
      <c r="E66">
        <v>1</v>
      </c>
      <c r="F66">
        <v>48777</v>
      </c>
      <c r="G66">
        <f t="shared" si="3"/>
        <v>48777</v>
      </c>
      <c r="H66">
        <f t="shared" si="4"/>
        <v>2438.85</v>
      </c>
      <c r="I66">
        <f t="shared" si="5"/>
        <v>46338.15</v>
      </c>
    </row>
    <row r="67" spans="1:9">
      <c r="A67" t="s">
        <v>37</v>
      </c>
      <c r="B67" s="1">
        <v>44996</v>
      </c>
      <c r="C67" t="s">
        <v>38</v>
      </c>
      <c r="D67" t="s">
        <v>9</v>
      </c>
      <c r="E67">
        <v>1</v>
      </c>
      <c r="F67">
        <v>49773</v>
      </c>
      <c r="G67">
        <f t="shared" si="3"/>
        <v>49773</v>
      </c>
      <c r="H67">
        <f t="shared" si="4"/>
        <v>2488.65</v>
      </c>
      <c r="I67">
        <f t="shared" si="5"/>
        <v>47284.35</v>
      </c>
    </row>
    <row r="68" spans="1:9">
      <c r="A68" t="s">
        <v>39</v>
      </c>
      <c r="B68" s="1">
        <v>45140</v>
      </c>
      <c r="C68" t="s">
        <v>40</v>
      </c>
      <c r="D68" t="s">
        <v>74</v>
      </c>
      <c r="E68">
        <v>2</v>
      </c>
      <c r="F68">
        <v>25187</v>
      </c>
      <c r="G68">
        <f t="shared" si="3"/>
        <v>50374</v>
      </c>
      <c r="H68">
        <f t="shared" si="4"/>
        <v>2518.7000000000003</v>
      </c>
      <c r="I68">
        <f t="shared" si="5"/>
        <v>47855.3</v>
      </c>
    </row>
    <row r="69" spans="1:9">
      <c r="A69" t="s">
        <v>41</v>
      </c>
      <c r="B69" s="1">
        <v>44953</v>
      </c>
      <c r="C69" t="s">
        <v>8</v>
      </c>
      <c r="D69" t="s">
        <v>9</v>
      </c>
      <c r="E69">
        <v>6</v>
      </c>
      <c r="F69">
        <v>8543</v>
      </c>
      <c r="G69">
        <f t="shared" si="3"/>
        <v>51258</v>
      </c>
      <c r="H69">
        <f t="shared" si="4"/>
        <v>2562.9</v>
      </c>
      <c r="I69">
        <f t="shared" si="5"/>
        <v>48695.1</v>
      </c>
    </row>
    <row r="70" spans="1:9">
      <c r="A70" t="s">
        <v>42</v>
      </c>
      <c r="B70" s="1">
        <v>45163</v>
      </c>
      <c r="C70" t="s">
        <v>32</v>
      </c>
      <c r="D70" t="s">
        <v>15</v>
      </c>
      <c r="E70">
        <v>6</v>
      </c>
      <c r="F70">
        <v>10333</v>
      </c>
      <c r="G70">
        <f t="shared" si="3"/>
        <v>61998</v>
      </c>
      <c r="H70">
        <f t="shared" si="4"/>
        <v>3099.9</v>
      </c>
      <c r="I70">
        <f t="shared" si="5"/>
        <v>58898.1</v>
      </c>
    </row>
    <row r="71" spans="1:9">
      <c r="A71" t="s">
        <v>43</v>
      </c>
      <c r="B71" s="1">
        <v>45129</v>
      </c>
      <c r="C71" t="s">
        <v>14</v>
      </c>
      <c r="D71" t="s">
        <v>33</v>
      </c>
      <c r="E71">
        <v>3</v>
      </c>
      <c r="F71">
        <v>20756</v>
      </c>
      <c r="G71">
        <f t="shared" si="3"/>
        <v>62268</v>
      </c>
      <c r="H71">
        <f t="shared" si="4"/>
        <v>3113.4</v>
      </c>
      <c r="I71">
        <f t="shared" si="5"/>
        <v>59154.6</v>
      </c>
    </row>
    <row r="72" spans="1:9">
      <c r="A72" t="s">
        <v>44</v>
      </c>
      <c r="B72" s="1">
        <v>45208</v>
      </c>
      <c r="C72" t="s">
        <v>11</v>
      </c>
      <c r="D72" t="s">
        <v>29</v>
      </c>
      <c r="E72">
        <v>4</v>
      </c>
      <c r="F72">
        <v>15733</v>
      </c>
      <c r="G72">
        <f t="shared" si="3"/>
        <v>62932</v>
      </c>
      <c r="H72">
        <f t="shared" si="4"/>
        <v>3146.6000000000004</v>
      </c>
      <c r="I72">
        <f t="shared" si="5"/>
        <v>59785.4</v>
      </c>
    </row>
    <row r="73" spans="1:9">
      <c r="A73" t="s">
        <v>45</v>
      </c>
      <c r="B73" s="1">
        <v>45117</v>
      </c>
      <c r="C73" t="s">
        <v>8</v>
      </c>
      <c r="D73" t="s">
        <v>33</v>
      </c>
      <c r="E73">
        <v>3</v>
      </c>
      <c r="F73">
        <v>21025</v>
      </c>
      <c r="G73">
        <f t="shared" si="3"/>
        <v>63075</v>
      </c>
      <c r="H73">
        <f t="shared" si="4"/>
        <v>3153.75</v>
      </c>
      <c r="I73">
        <f t="shared" si="5"/>
        <v>59921.25</v>
      </c>
    </row>
    <row r="74" spans="1:9">
      <c r="A74" t="s">
        <v>46</v>
      </c>
      <c r="B74" s="1">
        <v>44978</v>
      </c>
      <c r="C74" t="s">
        <v>32</v>
      </c>
      <c r="D74" t="s">
        <v>15</v>
      </c>
      <c r="E74">
        <v>3</v>
      </c>
      <c r="F74">
        <v>26115</v>
      </c>
      <c r="G74">
        <f t="shared" si="3"/>
        <v>78345</v>
      </c>
      <c r="H74">
        <f t="shared" si="4"/>
        <v>3917.25</v>
      </c>
      <c r="I74">
        <f t="shared" si="5"/>
        <v>74427.75</v>
      </c>
    </row>
    <row r="75" spans="1:9">
      <c r="A75" t="s">
        <v>47</v>
      </c>
      <c r="B75" s="1">
        <v>45184</v>
      </c>
      <c r="C75" t="s">
        <v>40</v>
      </c>
      <c r="D75" t="s">
        <v>74</v>
      </c>
      <c r="E75">
        <v>2</v>
      </c>
      <c r="F75">
        <v>39386</v>
      </c>
      <c r="G75">
        <f t="shared" si="3"/>
        <v>78772</v>
      </c>
      <c r="H75">
        <f t="shared" si="4"/>
        <v>3938.6000000000004</v>
      </c>
      <c r="I75">
        <f t="shared" si="5"/>
        <v>74833.399999999994</v>
      </c>
    </row>
    <row r="76" spans="1:9">
      <c r="A76" t="s">
        <v>48</v>
      </c>
      <c r="B76" s="1">
        <v>45203</v>
      </c>
      <c r="C76" t="s">
        <v>19</v>
      </c>
      <c r="D76" t="s">
        <v>26</v>
      </c>
      <c r="E76">
        <v>2</v>
      </c>
      <c r="F76">
        <v>39966</v>
      </c>
      <c r="G76">
        <f t="shared" si="3"/>
        <v>79932</v>
      </c>
      <c r="H76">
        <f t="shared" si="4"/>
        <v>3996.6000000000004</v>
      </c>
      <c r="I76">
        <f t="shared" si="5"/>
        <v>75935.399999999994</v>
      </c>
    </row>
    <row r="77" spans="1:9">
      <c r="A77" t="s">
        <v>49</v>
      </c>
      <c r="B77" s="1">
        <v>44958</v>
      </c>
      <c r="C77" t="s">
        <v>14</v>
      </c>
      <c r="D77" t="s">
        <v>12</v>
      </c>
      <c r="E77">
        <v>4</v>
      </c>
      <c r="F77">
        <v>20393</v>
      </c>
      <c r="G77">
        <f t="shared" si="3"/>
        <v>81572</v>
      </c>
      <c r="H77">
        <f t="shared" si="4"/>
        <v>4078.6000000000004</v>
      </c>
      <c r="I77">
        <f t="shared" si="5"/>
        <v>77493.399999999994</v>
      </c>
    </row>
    <row r="78" spans="1:9">
      <c r="A78" t="s">
        <v>50</v>
      </c>
      <c r="B78" s="1">
        <v>44957</v>
      </c>
      <c r="C78" t="s">
        <v>8</v>
      </c>
      <c r="D78" t="s">
        <v>12</v>
      </c>
      <c r="E78">
        <v>10</v>
      </c>
      <c r="F78">
        <v>8242</v>
      </c>
      <c r="G78">
        <f t="shared" si="3"/>
        <v>82420</v>
      </c>
      <c r="H78">
        <f t="shared" si="4"/>
        <v>4121</v>
      </c>
      <c r="I78">
        <f t="shared" si="5"/>
        <v>78299</v>
      </c>
    </row>
    <row r="79" spans="1:9">
      <c r="A79" t="s">
        <v>51</v>
      </c>
      <c r="B79" s="1">
        <v>44968</v>
      </c>
      <c r="C79" t="s">
        <v>19</v>
      </c>
      <c r="D79" t="s">
        <v>15</v>
      </c>
      <c r="E79">
        <v>2</v>
      </c>
      <c r="F79">
        <v>41545</v>
      </c>
      <c r="G79">
        <f t="shared" si="3"/>
        <v>83090</v>
      </c>
      <c r="H79">
        <f t="shared" si="4"/>
        <v>4154.5</v>
      </c>
      <c r="I79">
        <f t="shared" si="5"/>
        <v>78935.5</v>
      </c>
    </row>
    <row r="80" spans="1:9">
      <c r="A80" t="s">
        <v>52</v>
      </c>
      <c r="B80" s="1">
        <v>45026</v>
      </c>
      <c r="C80" t="s">
        <v>38</v>
      </c>
      <c r="D80" t="s">
        <v>12</v>
      </c>
      <c r="E80">
        <v>4</v>
      </c>
      <c r="F80">
        <v>20869</v>
      </c>
      <c r="G80">
        <f t="shared" si="3"/>
        <v>83476</v>
      </c>
      <c r="H80">
        <f t="shared" si="4"/>
        <v>4173.8</v>
      </c>
      <c r="I80">
        <f t="shared" si="5"/>
        <v>79302.2</v>
      </c>
    </row>
    <row r="81" spans="1:9">
      <c r="A81" t="s">
        <v>53</v>
      </c>
      <c r="B81" s="1">
        <v>45129</v>
      </c>
      <c r="C81" t="s">
        <v>24</v>
      </c>
      <c r="D81" t="s">
        <v>9</v>
      </c>
      <c r="E81">
        <v>10</v>
      </c>
      <c r="F81">
        <v>9575</v>
      </c>
      <c r="G81">
        <f t="shared" si="3"/>
        <v>95750</v>
      </c>
      <c r="H81">
        <f t="shared" si="4"/>
        <v>4787.5</v>
      </c>
      <c r="I81">
        <f t="shared" si="5"/>
        <v>90962.5</v>
      </c>
    </row>
    <row r="82" spans="1:9">
      <c r="A82" t="s">
        <v>54</v>
      </c>
      <c r="B82" s="1">
        <v>44934</v>
      </c>
      <c r="C82" t="s">
        <v>24</v>
      </c>
      <c r="D82" t="s">
        <v>15</v>
      </c>
      <c r="E82">
        <v>3</v>
      </c>
      <c r="F82">
        <v>34052</v>
      </c>
      <c r="G82">
        <f t="shared" si="3"/>
        <v>102156</v>
      </c>
      <c r="H82">
        <f t="shared" si="4"/>
        <v>5107.8</v>
      </c>
      <c r="I82">
        <f t="shared" si="5"/>
        <v>97048.2</v>
      </c>
    </row>
    <row r="83" spans="1:9">
      <c r="A83" t="s">
        <v>55</v>
      </c>
      <c r="B83" s="1">
        <v>45037</v>
      </c>
      <c r="C83" t="s">
        <v>24</v>
      </c>
      <c r="D83" t="s">
        <v>15</v>
      </c>
      <c r="E83">
        <v>5</v>
      </c>
      <c r="F83">
        <v>20679</v>
      </c>
      <c r="G83">
        <f t="shared" si="3"/>
        <v>103395</v>
      </c>
      <c r="H83">
        <f t="shared" si="4"/>
        <v>5169.75</v>
      </c>
      <c r="I83">
        <f t="shared" si="5"/>
        <v>98225.25</v>
      </c>
    </row>
    <row r="84" spans="1:9">
      <c r="A84" t="s">
        <v>56</v>
      </c>
      <c r="B84" s="1">
        <v>45069</v>
      </c>
      <c r="C84" t="s">
        <v>32</v>
      </c>
      <c r="D84" t="s">
        <v>26</v>
      </c>
      <c r="E84">
        <v>8</v>
      </c>
      <c r="F84">
        <v>13385</v>
      </c>
      <c r="G84">
        <f t="shared" si="3"/>
        <v>107080</v>
      </c>
      <c r="H84">
        <f t="shared" si="4"/>
        <v>5354</v>
      </c>
      <c r="I84">
        <f t="shared" si="5"/>
        <v>101726</v>
      </c>
    </row>
    <row r="85" spans="1:9">
      <c r="A85" t="s">
        <v>57</v>
      </c>
      <c r="B85" s="1">
        <v>44955</v>
      </c>
      <c r="C85" t="s">
        <v>17</v>
      </c>
      <c r="D85" t="s">
        <v>36</v>
      </c>
      <c r="E85">
        <v>4</v>
      </c>
      <c r="F85">
        <v>28810</v>
      </c>
      <c r="G85">
        <f t="shared" si="3"/>
        <v>115240</v>
      </c>
      <c r="H85">
        <f t="shared" si="4"/>
        <v>5762</v>
      </c>
      <c r="I85">
        <f t="shared" si="5"/>
        <v>109478</v>
      </c>
    </row>
    <row r="86" spans="1:9">
      <c r="A86" t="s">
        <v>58</v>
      </c>
      <c r="B86" s="1">
        <v>45016</v>
      </c>
      <c r="C86" t="s">
        <v>40</v>
      </c>
      <c r="D86" t="s">
        <v>74</v>
      </c>
      <c r="E86">
        <v>4</v>
      </c>
      <c r="F86">
        <v>29120</v>
      </c>
      <c r="G86">
        <f t="shared" si="3"/>
        <v>116480</v>
      </c>
      <c r="H86">
        <f t="shared" si="4"/>
        <v>5824</v>
      </c>
      <c r="I86">
        <f t="shared" si="5"/>
        <v>110656</v>
      </c>
    </row>
    <row r="87" spans="1:9">
      <c r="A87" t="s">
        <v>59</v>
      </c>
      <c r="B87" s="1">
        <v>44945</v>
      </c>
      <c r="C87" t="s">
        <v>14</v>
      </c>
      <c r="D87" t="s">
        <v>9</v>
      </c>
      <c r="E87">
        <v>5</v>
      </c>
      <c r="F87">
        <v>24148</v>
      </c>
      <c r="G87">
        <f t="shared" si="3"/>
        <v>120740</v>
      </c>
      <c r="H87">
        <f t="shared" si="4"/>
        <v>6037</v>
      </c>
      <c r="I87">
        <f t="shared" si="5"/>
        <v>114703</v>
      </c>
    </row>
    <row r="88" spans="1:9">
      <c r="A88" t="s">
        <v>60</v>
      </c>
      <c r="B88" s="1">
        <v>45107</v>
      </c>
      <c r="C88" t="s">
        <v>14</v>
      </c>
      <c r="D88" t="s">
        <v>21</v>
      </c>
      <c r="E88">
        <v>6</v>
      </c>
      <c r="F88">
        <v>20576</v>
      </c>
      <c r="G88">
        <f t="shared" si="3"/>
        <v>123456</v>
      </c>
      <c r="H88">
        <f t="shared" si="4"/>
        <v>6172.8</v>
      </c>
      <c r="I88">
        <f t="shared" si="5"/>
        <v>117283.2</v>
      </c>
    </row>
    <row r="89" spans="1:9">
      <c r="A89" t="s">
        <v>61</v>
      </c>
      <c r="B89" s="1">
        <v>45066</v>
      </c>
      <c r="C89" t="s">
        <v>17</v>
      </c>
      <c r="D89" t="s">
        <v>15</v>
      </c>
      <c r="E89">
        <v>6</v>
      </c>
      <c r="F89">
        <v>22895</v>
      </c>
      <c r="G89">
        <f t="shared" si="3"/>
        <v>137370</v>
      </c>
      <c r="H89">
        <f t="shared" si="4"/>
        <v>6868.5</v>
      </c>
      <c r="I89">
        <f t="shared" si="5"/>
        <v>130501.5</v>
      </c>
    </row>
    <row r="90" spans="1:9">
      <c r="A90" t="s">
        <v>62</v>
      </c>
      <c r="B90" s="1">
        <v>45208</v>
      </c>
      <c r="C90" t="s">
        <v>17</v>
      </c>
      <c r="D90" t="s">
        <v>15</v>
      </c>
      <c r="E90">
        <v>3</v>
      </c>
      <c r="F90">
        <v>48084</v>
      </c>
      <c r="G90">
        <f t="shared" si="3"/>
        <v>144252</v>
      </c>
      <c r="H90">
        <f t="shared" si="4"/>
        <v>7212.6</v>
      </c>
      <c r="I90">
        <f t="shared" si="5"/>
        <v>137039.4</v>
      </c>
    </row>
    <row r="91" spans="1:9">
      <c r="A91" t="s">
        <v>63</v>
      </c>
      <c r="B91" s="1">
        <v>45109</v>
      </c>
      <c r="C91" t="s">
        <v>8</v>
      </c>
      <c r="D91" t="s">
        <v>33</v>
      </c>
      <c r="E91">
        <v>5</v>
      </c>
      <c r="F91">
        <v>33106</v>
      </c>
      <c r="G91">
        <f t="shared" si="3"/>
        <v>165530</v>
      </c>
      <c r="H91">
        <f t="shared" si="4"/>
        <v>8276.5</v>
      </c>
      <c r="I91">
        <f t="shared" si="5"/>
        <v>157253.5</v>
      </c>
    </row>
    <row r="92" spans="1:9">
      <c r="A92" t="s">
        <v>64</v>
      </c>
      <c r="B92" s="1">
        <v>45041</v>
      </c>
      <c r="C92" t="s">
        <v>8</v>
      </c>
      <c r="D92" t="s">
        <v>33</v>
      </c>
      <c r="E92">
        <v>6</v>
      </c>
      <c r="F92">
        <v>31522</v>
      </c>
      <c r="G92">
        <f t="shared" si="3"/>
        <v>189132</v>
      </c>
      <c r="H92">
        <f t="shared" si="4"/>
        <v>9456.6</v>
      </c>
      <c r="I92">
        <f t="shared" si="5"/>
        <v>179675.4</v>
      </c>
    </row>
    <row r="93" spans="1:9">
      <c r="A93" t="s">
        <v>65</v>
      </c>
      <c r="B93" s="1">
        <v>45004</v>
      </c>
      <c r="C93" t="s">
        <v>24</v>
      </c>
      <c r="D93" t="s">
        <v>12</v>
      </c>
      <c r="E93">
        <v>7</v>
      </c>
      <c r="F93">
        <v>27356</v>
      </c>
      <c r="G93">
        <f t="shared" si="3"/>
        <v>191492</v>
      </c>
      <c r="H93">
        <f t="shared" si="4"/>
        <v>9574.6</v>
      </c>
      <c r="I93">
        <f t="shared" si="5"/>
        <v>181917.4</v>
      </c>
    </row>
    <row r="94" spans="1:9">
      <c r="A94" t="s">
        <v>66</v>
      </c>
      <c r="B94" s="1">
        <v>44991</v>
      </c>
      <c r="C94" t="s">
        <v>14</v>
      </c>
      <c r="D94" t="s">
        <v>21</v>
      </c>
      <c r="E94">
        <v>5</v>
      </c>
      <c r="F94">
        <v>40590</v>
      </c>
      <c r="G94">
        <f t="shared" si="3"/>
        <v>202950</v>
      </c>
      <c r="H94">
        <f t="shared" si="4"/>
        <v>10147.5</v>
      </c>
      <c r="I94">
        <f t="shared" si="5"/>
        <v>192802.5</v>
      </c>
    </row>
    <row r="95" spans="1:9">
      <c r="A95" t="s">
        <v>67</v>
      </c>
      <c r="B95" s="1">
        <v>45187</v>
      </c>
      <c r="C95" t="s">
        <v>19</v>
      </c>
      <c r="D95" t="s">
        <v>29</v>
      </c>
      <c r="E95">
        <v>7</v>
      </c>
      <c r="F95">
        <v>31140</v>
      </c>
      <c r="G95">
        <f t="shared" si="3"/>
        <v>217980</v>
      </c>
      <c r="H95">
        <f t="shared" si="4"/>
        <v>10899</v>
      </c>
      <c r="I95">
        <f t="shared" si="5"/>
        <v>207081</v>
      </c>
    </row>
    <row r="96" spans="1:9">
      <c r="A96" t="s">
        <v>68</v>
      </c>
      <c r="B96" s="1">
        <v>45101</v>
      </c>
      <c r="C96" t="s">
        <v>17</v>
      </c>
      <c r="D96" t="s">
        <v>26</v>
      </c>
      <c r="E96">
        <v>5</v>
      </c>
      <c r="F96">
        <v>43671</v>
      </c>
      <c r="G96">
        <f t="shared" si="3"/>
        <v>218355</v>
      </c>
      <c r="H96">
        <f t="shared" si="4"/>
        <v>10917.75</v>
      </c>
      <c r="I96">
        <f t="shared" si="5"/>
        <v>207437.25</v>
      </c>
    </row>
    <row r="97" spans="1:9">
      <c r="A97" t="s">
        <v>69</v>
      </c>
      <c r="B97" s="1">
        <v>44996</v>
      </c>
      <c r="C97" t="s">
        <v>8</v>
      </c>
      <c r="D97" t="s">
        <v>21</v>
      </c>
      <c r="E97">
        <v>7</v>
      </c>
      <c r="F97">
        <v>32236</v>
      </c>
      <c r="G97">
        <f t="shared" si="3"/>
        <v>225652</v>
      </c>
      <c r="H97">
        <f t="shared" si="4"/>
        <v>11282.6</v>
      </c>
      <c r="I97">
        <f t="shared" si="5"/>
        <v>214369.4</v>
      </c>
    </row>
    <row r="98" spans="1:9">
      <c r="A98" t="s">
        <v>70</v>
      </c>
      <c r="B98" s="1">
        <v>45170</v>
      </c>
      <c r="C98" t="s">
        <v>32</v>
      </c>
      <c r="D98" t="s">
        <v>29</v>
      </c>
      <c r="E98">
        <v>8</v>
      </c>
      <c r="F98">
        <v>34169</v>
      </c>
      <c r="G98">
        <f t="shared" si="3"/>
        <v>273352</v>
      </c>
      <c r="H98">
        <f t="shared" si="4"/>
        <v>13667.6</v>
      </c>
      <c r="I98">
        <f t="shared" si="5"/>
        <v>259684.4</v>
      </c>
    </row>
    <row r="99" spans="1:9">
      <c r="A99" t="s">
        <v>71</v>
      </c>
      <c r="B99" s="1">
        <v>44940</v>
      </c>
      <c r="C99" t="s">
        <v>19</v>
      </c>
      <c r="D99" t="s">
        <v>29</v>
      </c>
      <c r="E99">
        <v>10</v>
      </c>
      <c r="F99">
        <v>32061</v>
      </c>
      <c r="G99">
        <f t="shared" si="3"/>
        <v>320610</v>
      </c>
      <c r="H99">
        <f t="shared" si="4"/>
        <v>16030.5</v>
      </c>
      <c r="I99">
        <f t="shared" si="5"/>
        <v>304579.5</v>
      </c>
    </row>
    <row r="100" spans="1:9">
      <c r="A100" t="s">
        <v>72</v>
      </c>
      <c r="B100" s="1">
        <v>45023</v>
      </c>
      <c r="C100" t="s">
        <v>24</v>
      </c>
      <c r="D100" t="s">
        <v>9</v>
      </c>
      <c r="E100">
        <v>9</v>
      </c>
      <c r="F100">
        <v>44080</v>
      </c>
      <c r="G100">
        <f t="shared" si="3"/>
        <v>396720</v>
      </c>
      <c r="H100">
        <f t="shared" si="4"/>
        <v>19836</v>
      </c>
      <c r="I100">
        <f t="shared" si="5"/>
        <v>376884</v>
      </c>
    </row>
    <row r="101" spans="1:9">
      <c r="A101" t="s">
        <v>73</v>
      </c>
      <c r="B101" s="1">
        <v>45153</v>
      </c>
      <c r="C101" t="s">
        <v>8</v>
      </c>
      <c r="D101" t="s">
        <v>15</v>
      </c>
      <c r="E101">
        <v>10</v>
      </c>
      <c r="F101">
        <v>48992</v>
      </c>
      <c r="G101">
        <f t="shared" si="3"/>
        <v>489920</v>
      </c>
      <c r="H101">
        <f t="shared" si="4"/>
        <v>24496</v>
      </c>
      <c r="I101">
        <f t="shared" si="5"/>
        <v>465424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I51"/>
  <sheetViews>
    <sheetView zoomScale="130" zoomScaleNormal="130" workbookViewId="0">
      <selection sqref="A1:I1"/>
    </sheetView>
  </sheetViews>
  <sheetFormatPr defaultRowHeight="13.8"/>
  <cols>
    <col min="1" max="1" width="12.8984375" bestFit="1" customWidth="1"/>
    <col min="2" max="2" width="10.296875" bestFit="1" customWidth="1"/>
    <col min="3" max="3" width="14.69921875" bestFit="1" customWidth="1"/>
    <col min="4" max="4" width="11.19921875" bestFit="1" customWidth="1"/>
    <col min="5" max="5" width="11.796875" customWidth="1"/>
    <col min="6" max="6" width="14.3984375" customWidth="1"/>
    <col min="7" max="7" width="12" customWidth="1"/>
    <col min="8" max="8" width="10.8984375" customWidth="1"/>
    <col min="9" max="9" width="11.796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75</v>
      </c>
      <c r="I1" s="2" t="s">
        <v>76</v>
      </c>
    </row>
    <row r="2" spans="1:9">
      <c r="A2" t="s">
        <v>7</v>
      </c>
      <c r="B2" s="1">
        <v>45442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>
      <c r="A3" t="s">
        <v>10</v>
      </c>
      <c r="B3" s="1">
        <v>45296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>
      <c r="A4" t="s">
        <v>13</v>
      </c>
      <c r="B4" s="1">
        <v>45584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>
      <c r="A5" t="s">
        <v>16</v>
      </c>
      <c r="B5" s="1">
        <v>45420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>
      <c r="A6" t="s">
        <v>18</v>
      </c>
      <c r="B6" s="1">
        <v>45525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>
      <c r="A7" t="s">
        <v>20</v>
      </c>
      <c r="B7" s="1">
        <v>45309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>
      <c r="A8" t="s">
        <v>22</v>
      </c>
      <c r="B8" s="1">
        <v>45479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>
      <c r="A9" t="s">
        <v>23</v>
      </c>
      <c r="B9" s="1">
        <v>45499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>
      <c r="A10" t="s">
        <v>25</v>
      </c>
      <c r="B10" s="1">
        <v>45314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>
      <c r="A11" t="s">
        <v>27</v>
      </c>
      <c r="B11" s="1">
        <v>45392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>
      <c r="A12" t="s">
        <v>28</v>
      </c>
      <c r="B12" s="1">
        <v>45375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>
      <c r="A13" t="s">
        <v>30</v>
      </c>
      <c r="B13" s="1">
        <v>45301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>
      <c r="A14" t="s">
        <v>31</v>
      </c>
      <c r="B14" s="1">
        <v>45306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>
      <c r="A15" t="s">
        <v>34</v>
      </c>
      <c r="B15" s="1">
        <v>45331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>
      <c r="A16" t="s">
        <v>35</v>
      </c>
      <c r="B16" s="1">
        <v>45554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>
      <c r="A17" t="s">
        <v>37</v>
      </c>
      <c r="B17" s="1">
        <v>45362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>
      <c r="A18" t="s">
        <v>39</v>
      </c>
      <c r="B18" s="1">
        <v>45506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>
      <c r="A19" t="s">
        <v>41</v>
      </c>
      <c r="B19" s="1">
        <v>45318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>
      <c r="A20" t="s">
        <v>42</v>
      </c>
      <c r="B20" s="1">
        <v>45529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>
      <c r="A21" t="s">
        <v>43</v>
      </c>
      <c r="B21" s="1">
        <v>45495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>
      <c r="A22" t="s">
        <v>44</v>
      </c>
      <c r="B22" s="1">
        <v>45574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>
      <c r="A23" t="s">
        <v>45</v>
      </c>
      <c r="B23" s="1">
        <v>45483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>
      <c r="A24" t="s">
        <v>46</v>
      </c>
      <c r="B24" s="1">
        <v>45343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>
      <c r="A25" t="s">
        <v>47</v>
      </c>
      <c r="B25" s="1">
        <v>45550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>
      <c r="A26" t="s">
        <v>48</v>
      </c>
      <c r="B26" s="1">
        <v>45569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>
      <c r="A27" t="s">
        <v>49</v>
      </c>
      <c r="B27" s="1">
        <v>45323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>
      <c r="A28" t="s">
        <v>50</v>
      </c>
      <c r="B28" s="1">
        <v>45322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>
      <c r="A29" t="s">
        <v>51</v>
      </c>
      <c r="B29" s="1">
        <v>45333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>
      <c r="A30" t="s">
        <v>52</v>
      </c>
      <c r="B30" s="1">
        <v>45392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>
      <c r="A31" t="s">
        <v>53</v>
      </c>
      <c r="B31" s="1">
        <v>45495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>
      <c r="A32" t="s">
        <v>54</v>
      </c>
      <c r="B32" s="1">
        <v>45299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>
      <c r="A33" t="s">
        <v>55</v>
      </c>
      <c r="B33" s="1">
        <v>45403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>
      <c r="A34" t="s">
        <v>56</v>
      </c>
      <c r="B34" s="1">
        <v>45435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>
      <c r="A35" t="s">
        <v>57</v>
      </c>
      <c r="B35" s="1">
        <v>45320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>
      <c r="A36" t="s">
        <v>58</v>
      </c>
      <c r="B36" s="1">
        <v>45382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>
      <c r="A37" t="s">
        <v>59</v>
      </c>
      <c r="B37" s="1">
        <v>45310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>
      <c r="A38" t="s">
        <v>60</v>
      </c>
      <c r="B38" s="1">
        <v>45473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>
      <c r="A39" t="s">
        <v>61</v>
      </c>
      <c r="B39" s="1">
        <v>45432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>
      <c r="A40" t="s">
        <v>62</v>
      </c>
      <c r="B40" s="1">
        <v>45574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>
      <c r="A41" t="s">
        <v>63</v>
      </c>
      <c r="B41" s="1">
        <v>45475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>
      <c r="A42" t="s">
        <v>64</v>
      </c>
      <c r="B42" s="1">
        <v>45407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>
      <c r="A43" t="s">
        <v>65</v>
      </c>
      <c r="B43" s="1">
        <v>45370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>
      <c r="A44" t="s">
        <v>66</v>
      </c>
      <c r="B44" s="1">
        <v>45357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>
      <c r="A45" t="s">
        <v>67</v>
      </c>
      <c r="B45" s="1">
        <v>45553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>
      <c r="A46" t="s">
        <v>68</v>
      </c>
      <c r="B46" s="1">
        <v>45467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>
      <c r="A47" t="s">
        <v>69</v>
      </c>
      <c r="B47" s="1">
        <v>45362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>
      <c r="A48" t="s">
        <v>70</v>
      </c>
      <c r="B48" s="1">
        <v>45536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>
      <c r="A49" t="s">
        <v>71</v>
      </c>
      <c r="B49" s="1">
        <v>45305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>
      <c r="A50" t="s">
        <v>72</v>
      </c>
      <c r="B50" s="1">
        <v>45389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>
      <c r="A51" t="s">
        <v>73</v>
      </c>
      <c r="B51" s="1">
        <v>45519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3DF9-567B-4D2F-9720-ED8C6BBD8F9B}">
  <sheetPr>
    <pageSetUpPr fitToPage="1"/>
  </sheetPr>
  <dimension ref="A1:I51"/>
  <sheetViews>
    <sheetView tabSelected="1" view="pageLayout" topLeftCell="A17" zoomScale="94" zoomScaleNormal="115" zoomScalePageLayoutView="94" workbookViewId="0">
      <selection activeCell="F25" sqref="F25"/>
    </sheetView>
  </sheetViews>
  <sheetFormatPr defaultRowHeight="13.8"/>
  <cols>
    <col min="1" max="1" width="12.8984375" customWidth="1"/>
    <col min="2" max="2" width="10.296875" bestFit="1" customWidth="1"/>
    <col min="3" max="3" width="14.69921875" bestFit="1" customWidth="1"/>
    <col min="4" max="4" width="11.19921875" bestFit="1" customWidth="1"/>
    <col min="5" max="5" width="9.296875" bestFit="1" customWidth="1"/>
    <col min="6" max="6" width="12.796875" bestFit="1" customWidth="1"/>
    <col min="7" max="7" width="10" bestFit="1" customWidth="1"/>
    <col min="8" max="8" width="9" bestFit="1" customWidth="1"/>
    <col min="9" max="9" width="10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9">
      <c r="A2" s="4">
        <v>1</v>
      </c>
      <c r="B2" s="5">
        <v>45807</v>
      </c>
      <c r="C2" s="4" t="s">
        <v>8</v>
      </c>
      <c r="D2" s="4" t="s">
        <v>9</v>
      </c>
      <c r="E2" s="4">
        <v>3</v>
      </c>
      <c r="F2" s="4">
        <v>1764</v>
      </c>
      <c r="G2" s="4">
        <f>E2*F2</f>
        <v>5292</v>
      </c>
      <c r="H2" s="4">
        <f>G2*5%</f>
        <v>264.60000000000002</v>
      </c>
      <c r="I2" s="4">
        <f>G2-H2</f>
        <v>5027.3999999999996</v>
      </c>
    </row>
    <row r="3" spans="1:9">
      <c r="A3" s="4">
        <v>2</v>
      </c>
      <c r="B3" s="5">
        <v>45662</v>
      </c>
      <c r="C3" s="4" t="s">
        <v>11</v>
      </c>
      <c r="D3" s="4" t="s">
        <v>12</v>
      </c>
      <c r="E3" s="4">
        <v>2</v>
      </c>
      <c r="F3" s="4">
        <v>3963</v>
      </c>
      <c r="G3" s="4">
        <f t="shared" ref="G3:G51" si="0">E3*F3</f>
        <v>7926</v>
      </c>
      <c r="H3" s="4">
        <f t="shared" ref="H3:H51" si="1">G3*5%</f>
        <v>396.3</v>
      </c>
      <c r="I3" s="4">
        <f t="shared" ref="I3:I51" si="2">G3-H3</f>
        <v>7529.7</v>
      </c>
    </row>
    <row r="4" spans="1:9">
      <c r="A4" s="4">
        <v>3</v>
      </c>
      <c r="B4" s="5">
        <v>45949</v>
      </c>
      <c r="C4" s="4" t="s">
        <v>14</v>
      </c>
      <c r="D4" s="4" t="s">
        <v>15</v>
      </c>
      <c r="E4" s="4">
        <v>2</v>
      </c>
      <c r="F4" s="4">
        <v>5389</v>
      </c>
      <c r="G4" s="4">
        <f t="shared" si="0"/>
        <v>10778</v>
      </c>
      <c r="H4" s="4">
        <f t="shared" si="1"/>
        <v>538.9</v>
      </c>
      <c r="I4" s="4">
        <f t="shared" si="2"/>
        <v>10239.1</v>
      </c>
    </row>
    <row r="5" spans="1:9">
      <c r="A5" s="4">
        <v>4</v>
      </c>
      <c r="B5" s="5">
        <v>45785</v>
      </c>
      <c r="C5" s="4" t="s">
        <v>17</v>
      </c>
      <c r="D5" s="4" t="s">
        <v>9</v>
      </c>
      <c r="E5" s="4">
        <v>3</v>
      </c>
      <c r="F5" s="4">
        <v>4486</v>
      </c>
      <c r="G5" s="4">
        <f t="shared" si="0"/>
        <v>13458</v>
      </c>
      <c r="H5" s="4">
        <f t="shared" si="1"/>
        <v>672.90000000000009</v>
      </c>
      <c r="I5" s="4">
        <f t="shared" si="2"/>
        <v>12785.1</v>
      </c>
    </row>
    <row r="6" spans="1:9">
      <c r="A6" s="4">
        <v>5</v>
      </c>
      <c r="B6" s="5">
        <v>45890</v>
      </c>
      <c r="C6" s="4" t="s">
        <v>19</v>
      </c>
      <c r="D6" s="4" t="s">
        <v>9</v>
      </c>
      <c r="E6" s="4">
        <v>1</v>
      </c>
      <c r="F6" s="4">
        <v>15787</v>
      </c>
      <c r="G6" s="4">
        <f t="shared" si="0"/>
        <v>15787</v>
      </c>
      <c r="H6" s="4">
        <f t="shared" si="1"/>
        <v>789.35</v>
      </c>
      <c r="I6" s="4">
        <f t="shared" si="2"/>
        <v>14997.65</v>
      </c>
    </row>
    <row r="7" spans="1:9">
      <c r="A7" s="4">
        <v>6</v>
      </c>
      <c r="B7" s="5">
        <v>45675</v>
      </c>
      <c r="C7" s="4" t="s">
        <v>11</v>
      </c>
      <c r="D7" s="4" t="s">
        <v>21</v>
      </c>
      <c r="E7" s="4">
        <v>1</v>
      </c>
      <c r="F7" s="4">
        <v>20040</v>
      </c>
      <c r="G7" s="4">
        <f t="shared" si="0"/>
        <v>20040</v>
      </c>
      <c r="H7" s="4">
        <f t="shared" si="1"/>
        <v>1002</v>
      </c>
      <c r="I7" s="4">
        <f t="shared" si="2"/>
        <v>19038</v>
      </c>
    </row>
    <row r="8" spans="1:9">
      <c r="A8" s="4">
        <v>7</v>
      </c>
      <c r="B8" s="5">
        <v>45844</v>
      </c>
      <c r="C8" s="4" t="s">
        <v>14</v>
      </c>
      <c r="D8" s="4" t="s">
        <v>15</v>
      </c>
      <c r="E8" s="4">
        <v>1</v>
      </c>
      <c r="F8" s="4">
        <v>22955</v>
      </c>
      <c r="G8" s="4">
        <f t="shared" si="0"/>
        <v>22955</v>
      </c>
      <c r="H8" s="4">
        <f t="shared" si="1"/>
        <v>1147.75</v>
      </c>
      <c r="I8" s="4">
        <f t="shared" si="2"/>
        <v>21807.25</v>
      </c>
    </row>
    <row r="9" spans="1:9">
      <c r="A9" s="4">
        <v>8</v>
      </c>
      <c r="B9" s="5">
        <v>45864</v>
      </c>
      <c r="C9" s="4" t="s">
        <v>24</v>
      </c>
      <c r="D9" s="4" t="s">
        <v>74</v>
      </c>
      <c r="E9" s="4">
        <v>1</v>
      </c>
      <c r="F9" s="4">
        <v>31617</v>
      </c>
      <c r="G9" s="4">
        <f t="shared" si="0"/>
        <v>31617</v>
      </c>
      <c r="H9" s="4">
        <f t="shared" si="1"/>
        <v>1580.8500000000001</v>
      </c>
      <c r="I9" s="4">
        <f t="shared" si="2"/>
        <v>30036.15</v>
      </c>
    </row>
    <row r="10" spans="1:9">
      <c r="A10" s="4">
        <v>9</v>
      </c>
      <c r="B10" s="5">
        <v>45680</v>
      </c>
      <c r="C10" s="4" t="s">
        <v>8</v>
      </c>
      <c r="D10" s="4" t="s">
        <v>26</v>
      </c>
      <c r="E10" s="4">
        <v>2</v>
      </c>
      <c r="F10" s="4">
        <v>18344</v>
      </c>
      <c r="G10" s="4">
        <f t="shared" si="0"/>
        <v>36688</v>
      </c>
      <c r="H10" s="4">
        <f t="shared" si="1"/>
        <v>1834.4</v>
      </c>
      <c r="I10" s="4">
        <f t="shared" si="2"/>
        <v>34853.599999999999</v>
      </c>
    </row>
    <row r="11" spans="1:9">
      <c r="A11" s="4">
        <v>10</v>
      </c>
      <c r="B11" s="5">
        <v>45757</v>
      </c>
      <c r="C11" s="4" t="s">
        <v>19</v>
      </c>
      <c r="D11" s="4" t="s">
        <v>21</v>
      </c>
      <c r="E11" s="4">
        <v>1</v>
      </c>
      <c r="F11" s="4">
        <v>38182</v>
      </c>
      <c r="G11" s="4">
        <f t="shared" si="0"/>
        <v>38182</v>
      </c>
      <c r="H11" s="4">
        <f t="shared" si="1"/>
        <v>1909.1000000000001</v>
      </c>
      <c r="I11" s="4">
        <f t="shared" si="2"/>
        <v>36272.9</v>
      </c>
    </row>
    <row r="12" spans="1:9">
      <c r="A12" s="4">
        <v>11</v>
      </c>
      <c r="B12" s="5">
        <v>45740</v>
      </c>
      <c r="C12" s="4" t="s">
        <v>11</v>
      </c>
      <c r="D12" s="4" t="s">
        <v>29</v>
      </c>
      <c r="E12" s="4">
        <v>1</v>
      </c>
      <c r="F12" s="4">
        <v>39672</v>
      </c>
      <c r="G12" s="4">
        <f t="shared" si="0"/>
        <v>39672</v>
      </c>
      <c r="H12" s="4">
        <f t="shared" si="1"/>
        <v>1983.6000000000001</v>
      </c>
      <c r="I12" s="4">
        <f t="shared" si="2"/>
        <v>37688.400000000001</v>
      </c>
    </row>
    <row r="13" spans="1:9">
      <c r="A13" s="4">
        <v>12</v>
      </c>
      <c r="B13" s="5">
        <v>45667</v>
      </c>
      <c r="C13" s="4" t="s">
        <v>17</v>
      </c>
      <c r="D13" s="4" t="s">
        <v>9</v>
      </c>
      <c r="E13" s="4">
        <v>2</v>
      </c>
      <c r="F13" s="4">
        <v>20241</v>
      </c>
      <c r="G13" s="4">
        <f t="shared" si="0"/>
        <v>40482</v>
      </c>
      <c r="H13" s="4">
        <f t="shared" si="1"/>
        <v>2024.1000000000001</v>
      </c>
      <c r="I13" s="4">
        <f t="shared" si="2"/>
        <v>38457.9</v>
      </c>
    </row>
    <row r="14" spans="1:9">
      <c r="A14" s="4">
        <v>13</v>
      </c>
      <c r="B14" s="5">
        <v>45672</v>
      </c>
      <c r="C14" s="4" t="s">
        <v>32</v>
      </c>
      <c r="D14" s="4" t="s">
        <v>33</v>
      </c>
      <c r="E14" s="4">
        <v>5</v>
      </c>
      <c r="F14" s="4">
        <v>8381</v>
      </c>
      <c r="G14" s="4">
        <f t="shared" si="0"/>
        <v>41905</v>
      </c>
      <c r="H14" s="4">
        <f t="shared" si="1"/>
        <v>2095.25</v>
      </c>
      <c r="I14" s="4">
        <f t="shared" si="2"/>
        <v>39809.75</v>
      </c>
    </row>
    <row r="15" spans="1:9">
      <c r="A15" s="4">
        <v>14</v>
      </c>
      <c r="B15" s="5">
        <v>45697</v>
      </c>
      <c r="C15" s="4" t="s">
        <v>32</v>
      </c>
      <c r="D15" s="4" t="s">
        <v>33</v>
      </c>
      <c r="E15" s="4">
        <v>5</v>
      </c>
      <c r="F15" s="4">
        <v>9236</v>
      </c>
      <c r="G15" s="4">
        <f t="shared" si="0"/>
        <v>46180</v>
      </c>
      <c r="H15" s="4">
        <f t="shared" si="1"/>
        <v>2309</v>
      </c>
      <c r="I15" s="4">
        <f t="shared" si="2"/>
        <v>43871</v>
      </c>
    </row>
    <row r="16" spans="1:9">
      <c r="A16" s="4">
        <v>15</v>
      </c>
      <c r="B16" s="5">
        <v>45919</v>
      </c>
      <c r="C16" s="4" t="s">
        <v>11</v>
      </c>
      <c r="D16" s="4" t="s">
        <v>36</v>
      </c>
      <c r="E16" s="4">
        <v>1</v>
      </c>
      <c r="F16" s="4">
        <v>48777</v>
      </c>
      <c r="G16" s="4">
        <f t="shared" si="0"/>
        <v>48777</v>
      </c>
      <c r="H16" s="4">
        <f t="shared" si="1"/>
        <v>2438.85</v>
      </c>
      <c r="I16" s="4">
        <f t="shared" si="2"/>
        <v>46338.15</v>
      </c>
    </row>
    <row r="17" spans="1:9">
      <c r="A17" s="4">
        <v>16</v>
      </c>
      <c r="B17" s="5">
        <v>45727</v>
      </c>
      <c r="C17" s="4" t="s">
        <v>38</v>
      </c>
      <c r="D17" s="4" t="s">
        <v>9</v>
      </c>
      <c r="E17" s="4">
        <v>1</v>
      </c>
      <c r="F17" s="4">
        <v>49773</v>
      </c>
      <c r="G17" s="4">
        <f t="shared" si="0"/>
        <v>49773</v>
      </c>
      <c r="H17" s="4">
        <f t="shared" si="1"/>
        <v>2488.65</v>
      </c>
      <c r="I17" s="4">
        <f t="shared" si="2"/>
        <v>47284.35</v>
      </c>
    </row>
    <row r="18" spans="1:9">
      <c r="A18" s="4">
        <v>17</v>
      </c>
      <c r="B18" s="5">
        <v>45871</v>
      </c>
      <c r="C18" s="4" t="s">
        <v>40</v>
      </c>
      <c r="D18" s="4" t="s">
        <v>74</v>
      </c>
      <c r="E18" s="4">
        <v>2</v>
      </c>
      <c r="F18" s="4">
        <v>25187</v>
      </c>
      <c r="G18" s="4">
        <f t="shared" si="0"/>
        <v>50374</v>
      </c>
      <c r="H18" s="4">
        <f t="shared" si="1"/>
        <v>2518.7000000000003</v>
      </c>
      <c r="I18" s="4">
        <f t="shared" si="2"/>
        <v>47855.3</v>
      </c>
    </row>
    <row r="19" spans="1:9">
      <c r="A19" s="4">
        <v>18</v>
      </c>
      <c r="B19" s="5">
        <v>45684</v>
      </c>
      <c r="C19" s="4" t="s">
        <v>8</v>
      </c>
      <c r="D19" s="4" t="s">
        <v>9</v>
      </c>
      <c r="E19" s="4">
        <v>6</v>
      </c>
      <c r="F19" s="4">
        <v>8543</v>
      </c>
      <c r="G19" s="4">
        <f t="shared" si="0"/>
        <v>51258</v>
      </c>
      <c r="H19" s="4">
        <f t="shared" si="1"/>
        <v>2562.9</v>
      </c>
      <c r="I19" s="4">
        <f t="shared" si="2"/>
        <v>48695.1</v>
      </c>
    </row>
    <row r="20" spans="1:9">
      <c r="A20" s="4">
        <v>19</v>
      </c>
      <c r="B20" s="5">
        <v>45894</v>
      </c>
      <c r="C20" s="4" t="s">
        <v>32</v>
      </c>
      <c r="D20" s="4" t="s">
        <v>15</v>
      </c>
      <c r="E20" s="4">
        <v>6</v>
      </c>
      <c r="F20" s="4">
        <v>10333</v>
      </c>
      <c r="G20" s="4">
        <f t="shared" si="0"/>
        <v>61998</v>
      </c>
      <c r="H20" s="4">
        <f t="shared" si="1"/>
        <v>3099.9</v>
      </c>
      <c r="I20" s="4">
        <f t="shared" si="2"/>
        <v>58898.1</v>
      </c>
    </row>
    <row r="21" spans="1:9">
      <c r="A21" s="4">
        <v>20</v>
      </c>
      <c r="B21" s="5">
        <v>45860</v>
      </c>
      <c r="C21" s="4" t="s">
        <v>14</v>
      </c>
      <c r="D21" s="4" t="s">
        <v>33</v>
      </c>
      <c r="E21" s="4">
        <v>3</v>
      </c>
      <c r="F21" s="4">
        <v>20756</v>
      </c>
      <c r="G21" s="4">
        <f t="shared" si="0"/>
        <v>62268</v>
      </c>
      <c r="H21" s="4">
        <f t="shared" si="1"/>
        <v>3113.4</v>
      </c>
      <c r="I21" s="4">
        <f t="shared" si="2"/>
        <v>59154.6</v>
      </c>
    </row>
    <row r="22" spans="1:9">
      <c r="A22" s="4">
        <v>21</v>
      </c>
      <c r="B22" s="5">
        <v>45939</v>
      </c>
      <c r="C22" s="4" t="s">
        <v>11</v>
      </c>
      <c r="D22" s="4" t="s">
        <v>29</v>
      </c>
      <c r="E22" s="4">
        <v>4</v>
      </c>
      <c r="F22" s="4">
        <v>15733</v>
      </c>
      <c r="G22" s="4">
        <f t="shared" si="0"/>
        <v>62932</v>
      </c>
      <c r="H22" s="4">
        <f t="shared" si="1"/>
        <v>3146.6000000000004</v>
      </c>
      <c r="I22" s="4">
        <f t="shared" si="2"/>
        <v>59785.4</v>
      </c>
    </row>
    <row r="23" spans="1:9">
      <c r="A23" s="4">
        <v>22</v>
      </c>
      <c r="B23" s="5">
        <v>45848</v>
      </c>
      <c r="C23" s="4" t="s">
        <v>8</v>
      </c>
      <c r="D23" s="4" t="s">
        <v>33</v>
      </c>
      <c r="E23" s="4">
        <v>3</v>
      </c>
      <c r="F23" s="4">
        <v>21025</v>
      </c>
      <c r="G23" s="4">
        <f t="shared" si="0"/>
        <v>63075</v>
      </c>
      <c r="H23" s="4">
        <f t="shared" si="1"/>
        <v>3153.75</v>
      </c>
      <c r="I23" s="4">
        <f t="shared" si="2"/>
        <v>59921.25</v>
      </c>
    </row>
    <row r="24" spans="1:9">
      <c r="A24" s="4">
        <v>23</v>
      </c>
      <c r="B24" s="5">
        <v>45709</v>
      </c>
      <c r="C24" s="4" t="s">
        <v>32</v>
      </c>
      <c r="D24" s="4" t="s">
        <v>15</v>
      </c>
      <c r="E24" s="4">
        <v>3</v>
      </c>
      <c r="F24" s="4">
        <v>26115</v>
      </c>
      <c r="G24" s="4">
        <f t="shared" si="0"/>
        <v>78345</v>
      </c>
      <c r="H24" s="4">
        <f t="shared" si="1"/>
        <v>3917.25</v>
      </c>
      <c r="I24" s="4">
        <f t="shared" si="2"/>
        <v>74427.75</v>
      </c>
    </row>
    <row r="25" spans="1:9">
      <c r="A25" s="4">
        <v>24</v>
      </c>
      <c r="B25" s="5">
        <v>45915</v>
      </c>
      <c r="C25" s="4" t="s">
        <v>40</v>
      </c>
      <c r="D25" s="4" t="s">
        <v>74</v>
      </c>
      <c r="E25" s="4">
        <v>2</v>
      </c>
      <c r="F25" s="4">
        <v>39386</v>
      </c>
      <c r="G25" s="4">
        <f t="shared" si="0"/>
        <v>78772</v>
      </c>
      <c r="H25" s="4">
        <f t="shared" si="1"/>
        <v>3938.6000000000004</v>
      </c>
      <c r="I25" s="4">
        <f t="shared" si="2"/>
        <v>74833.399999999994</v>
      </c>
    </row>
    <row r="26" spans="1:9">
      <c r="A26" s="4">
        <v>25</v>
      </c>
      <c r="B26" s="5">
        <v>45934</v>
      </c>
      <c r="C26" s="4" t="s">
        <v>19</v>
      </c>
      <c r="D26" s="4" t="s">
        <v>26</v>
      </c>
      <c r="E26" s="4">
        <v>2</v>
      </c>
      <c r="F26" s="4">
        <v>39966</v>
      </c>
      <c r="G26" s="4">
        <f t="shared" si="0"/>
        <v>79932</v>
      </c>
      <c r="H26" s="4">
        <f t="shared" si="1"/>
        <v>3996.6000000000004</v>
      </c>
      <c r="I26" s="4">
        <f t="shared" si="2"/>
        <v>75935.399999999994</v>
      </c>
    </row>
    <row r="27" spans="1:9">
      <c r="A27" s="4">
        <v>26</v>
      </c>
      <c r="B27" s="5">
        <v>45689</v>
      </c>
      <c r="C27" s="4" t="s">
        <v>14</v>
      </c>
      <c r="D27" s="4" t="s">
        <v>12</v>
      </c>
      <c r="E27" s="4">
        <v>4</v>
      </c>
      <c r="F27" s="4">
        <v>20393</v>
      </c>
      <c r="G27" s="4">
        <f t="shared" si="0"/>
        <v>81572</v>
      </c>
      <c r="H27" s="4">
        <f t="shared" si="1"/>
        <v>4078.6000000000004</v>
      </c>
      <c r="I27" s="4">
        <f t="shared" si="2"/>
        <v>77493.399999999994</v>
      </c>
    </row>
    <row r="28" spans="1:9">
      <c r="A28" s="4">
        <v>27</v>
      </c>
      <c r="B28" s="5">
        <v>45688</v>
      </c>
      <c r="C28" s="4" t="s">
        <v>8</v>
      </c>
      <c r="D28" s="4" t="s">
        <v>12</v>
      </c>
      <c r="E28" s="4">
        <v>10</v>
      </c>
      <c r="F28" s="4">
        <v>8242</v>
      </c>
      <c r="G28" s="4">
        <f t="shared" si="0"/>
        <v>82420</v>
      </c>
      <c r="H28" s="4">
        <f t="shared" si="1"/>
        <v>4121</v>
      </c>
      <c r="I28" s="4">
        <f t="shared" si="2"/>
        <v>78299</v>
      </c>
    </row>
    <row r="29" spans="1:9">
      <c r="A29" s="4">
        <v>28</v>
      </c>
      <c r="B29" s="5">
        <v>45699</v>
      </c>
      <c r="C29" s="4" t="s">
        <v>19</v>
      </c>
      <c r="D29" s="4" t="s">
        <v>15</v>
      </c>
      <c r="E29" s="4">
        <v>2</v>
      </c>
      <c r="F29" s="4">
        <v>41545</v>
      </c>
      <c r="G29" s="4">
        <f t="shared" si="0"/>
        <v>83090</v>
      </c>
      <c r="H29" s="4">
        <f t="shared" si="1"/>
        <v>4154.5</v>
      </c>
      <c r="I29" s="4">
        <f t="shared" si="2"/>
        <v>78935.5</v>
      </c>
    </row>
    <row r="30" spans="1:9">
      <c r="A30" s="4">
        <v>29</v>
      </c>
      <c r="B30" s="5">
        <v>45757</v>
      </c>
      <c r="C30" s="4" t="s">
        <v>38</v>
      </c>
      <c r="D30" s="4" t="s">
        <v>12</v>
      </c>
      <c r="E30" s="4">
        <v>4</v>
      </c>
      <c r="F30" s="4">
        <v>20869</v>
      </c>
      <c r="G30" s="4">
        <f t="shared" si="0"/>
        <v>83476</v>
      </c>
      <c r="H30" s="4">
        <f t="shared" si="1"/>
        <v>4173.8</v>
      </c>
      <c r="I30" s="4">
        <f t="shared" si="2"/>
        <v>79302.2</v>
      </c>
    </row>
    <row r="31" spans="1:9">
      <c r="A31" s="4">
        <v>30</v>
      </c>
      <c r="B31" s="5">
        <v>45860</v>
      </c>
      <c r="C31" s="4" t="s">
        <v>24</v>
      </c>
      <c r="D31" s="4" t="s">
        <v>9</v>
      </c>
      <c r="E31" s="4">
        <v>10</v>
      </c>
      <c r="F31" s="4">
        <v>9575</v>
      </c>
      <c r="G31" s="4">
        <f t="shared" si="0"/>
        <v>95750</v>
      </c>
      <c r="H31" s="4">
        <f t="shared" si="1"/>
        <v>4787.5</v>
      </c>
      <c r="I31" s="4">
        <f t="shared" si="2"/>
        <v>90962.5</v>
      </c>
    </row>
    <row r="32" spans="1:9">
      <c r="A32" s="4">
        <v>31</v>
      </c>
      <c r="B32" s="5">
        <v>45665</v>
      </c>
      <c r="C32" s="4" t="s">
        <v>24</v>
      </c>
      <c r="D32" s="4" t="s">
        <v>15</v>
      </c>
      <c r="E32" s="4">
        <v>3</v>
      </c>
      <c r="F32" s="4">
        <v>34052</v>
      </c>
      <c r="G32" s="4">
        <f t="shared" si="0"/>
        <v>102156</v>
      </c>
      <c r="H32" s="4">
        <f t="shared" si="1"/>
        <v>5107.8</v>
      </c>
      <c r="I32" s="4">
        <f t="shared" si="2"/>
        <v>97048.2</v>
      </c>
    </row>
    <row r="33" spans="1:9">
      <c r="A33" s="4">
        <v>32</v>
      </c>
      <c r="B33" s="5">
        <v>45768</v>
      </c>
      <c r="C33" s="4" t="s">
        <v>24</v>
      </c>
      <c r="D33" s="4" t="s">
        <v>15</v>
      </c>
      <c r="E33" s="4">
        <v>5</v>
      </c>
      <c r="F33" s="4">
        <v>20679</v>
      </c>
      <c r="G33" s="4">
        <f t="shared" si="0"/>
        <v>103395</v>
      </c>
      <c r="H33" s="4">
        <f t="shared" si="1"/>
        <v>5169.75</v>
      </c>
      <c r="I33" s="4">
        <f t="shared" si="2"/>
        <v>98225.25</v>
      </c>
    </row>
    <row r="34" spans="1:9">
      <c r="A34" s="4">
        <v>33</v>
      </c>
      <c r="B34" s="5">
        <v>45800</v>
      </c>
      <c r="C34" s="4" t="s">
        <v>32</v>
      </c>
      <c r="D34" s="4" t="s">
        <v>26</v>
      </c>
      <c r="E34" s="4">
        <v>8</v>
      </c>
      <c r="F34" s="4">
        <v>13385</v>
      </c>
      <c r="G34" s="4">
        <f t="shared" si="0"/>
        <v>107080</v>
      </c>
      <c r="H34" s="4">
        <f t="shared" si="1"/>
        <v>5354</v>
      </c>
      <c r="I34" s="4">
        <f t="shared" si="2"/>
        <v>101726</v>
      </c>
    </row>
    <row r="35" spans="1:9">
      <c r="A35" s="4">
        <v>34</v>
      </c>
      <c r="B35" s="5">
        <v>45686</v>
      </c>
      <c r="C35" s="4" t="s">
        <v>17</v>
      </c>
      <c r="D35" s="4" t="s">
        <v>36</v>
      </c>
      <c r="E35" s="4">
        <v>4</v>
      </c>
      <c r="F35" s="4">
        <v>28810</v>
      </c>
      <c r="G35" s="4">
        <f t="shared" si="0"/>
        <v>115240</v>
      </c>
      <c r="H35" s="4">
        <f t="shared" si="1"/>
        <v>5762</v>
      </c>
      <c r="I35" s="4">
        <f t="shared" si="2"/>
        <v>109478</v>
      </c>
    </row>
    <row r="36" spans="1:9">
      <c r="A36" s="4">
        <v>35</v>
      </c>
      <c r="B36" s="5">
        <v>45747</v>
      </c>
      <c r="C36" s="4" t="s">
        <v>40</v>
      </c>
      <c r="D36" s="4" t="s">
        <v>74</v>
      </c>
      <c r="E36" s="4">
        <v>4</v>
      </c>
      <c r="F36" s="4">
        <v>29120</v>
      </c>
      <c r="G36" s="4">
        <f t="shared" si="0"/>
        <v>116480</v>
      </c>
      <c r="H36" s="4">
        <f t="shared" si="1"/>
        <v>5824</v>
      </c>
      <c r="I36" s="4">
        <f t="shared" si="2"/>
        <v>110656</v>
      </c>
    </row>
    <row r="37" spans="1:9">
      <c r="A37" s="4">
        <v>36</v>
      </c>
      <c r="B37" s="5">
        <v>45676</v>
      </c>
      <c r="C37" s="4" t="s">
        <v>14</v>
      </c>
      <c r="D37" s="4" t="s">
        <v>9</v>
      </c>
      <c r="E37" s="4">
        <v>5</v>
      </c>
      <c r="F37" s="4">
        <v>24148</v>
      </c>
      <c r="G37" s="4">
        <f t="shared" si="0"/>
        <v>120740</v>
      </c>
      <c r="H37" s="4">
        <f t="shared" si="1"/>
        <v>6037</v>
      </c>
      <c r="I37" s="4">
        <f t="shared" si="2"/>
        <v>114703</v>
      </c>
    </row>
    <row r="38" spans="1:9">
      <c r="A38" s="4">
        <v>37</v>
      </c>
      <c r="B38" s="5">
        <v>45838</v>
      </c>
      <c r="C38" s="4" t="s">
        <v>14</v>
      </c>
      <c r="D38" s="4" t="s">
        <v>21</v>
      </c>
      <c r="E38" s="4">
        <v>6</v>
      </c>
      <c r="F38" s="4">
        <v>20576</v>
      </c>
      <c r="G38" s="4">
        <f t="shared" si="0"/>
        <v>123456</v>
      </c>
      <c r="H38" s="4">
        <f t="shared" si="1"/>
        <v>6172.8</v>
      </c>
      <c r="I38" s="4">
        <f t="shared" si="2"/>
        <v>117283.2</v>
      </c>
    </row>
    <row r="39" spans="1:9">
      <c r="A39" s="4">
        <v>38</v>
      </c>
      <c r="B39" s="5">
        <v>45797</v>
      </c>
      <c r="C39" s="4" t="s">
        <v>17</v>
      </c>
      <c r="D39" s="4" t="s">
        <v>15</v>
      </c>
      <c r="E39" s="4">
        <v>6</v>
      </c>
      <c r="F39" s="4">
        <v>22895</v>
      </c>
      <c r="G39" s="4">
        <f t="shared" si="0"/>
        <v>137370</v>
      </c>
      <c r="H39" s="4">
        <f t="shared" si="1"/>
        <v>6868.5</v>
      </c>
      <c r="I39" s="4">
        <f t="shared" si="2"/>
        <v>130501.5</v>
      </c>
    </row>
    <row r="40" spans="1:9">
      <c r="A40" s="4">
        <v>39</v>
      </c>
      <c r="B40" s="5">
        <v>45939</v>
      </c>
      <c r="C40" s="4" t="s">
        <v>17</v>
      </c>
      <c r="D40" s="4" t="s">
        <v>15</v>
      </c>
      <c r="E40" s="4">
        <v>3</v>
      </c>
      <c r="F40" s="4">
        <v>48084</v>
      </c>
      <c r="G40" s="4">
        <f t="shared" si="0"/>
        <v>144252</v>
      </c>
      <c r="H40" s="4">
        <f t="shared" si="1"/>
        <v>7212.6</v>
      </c>
      <c r="I40" s="4">
        <f t="shared" si="2"/>
        <v>137039.4</v>
      </c>
    </row>
    <row r="41" spans="1:9">
      <c r="A41" s="4">
        <v>40</v>
      </c>
      <c r="B41" s="5">
        <v>45840</v>
      </c>
      <c r="C41" s="4" t="s">
        <v>8</v>
      </c>
      <c r="D41" s="4" t="s">
        <v>33</v>
      </c>
      <c r="E41" s="4">
        <v>5</v>
      </c>
      <c r="F41" s="4">
        <v>33106</v>
      </c>
      <c r="G41" s="4">
        <f t="shared" si="0"/>
        <v>165530</v>
      </c>
      <c r="H41" s="4">
        <f t="shared" si="1"/>
        <v>8276.5</v>
      </c>
      <c r="I41" s="4">
        <f t="shared" si="2"/>
        <v>157253.5</v>
      </c>
    </row>
    <row r="42" spans="1:9">
      <c r="A42" s="4">
        <v>41</v>
      </c>
      <c r="B42" s="5">
        <v>45772</v>
      </c>
      <c r="C42" s="4" t="s">
        <v>8</v>
      </c>
      <c r="D42" s="4" t="s">
        <v>33</v>
      </c>
      <c r="E42" s="4">
        <v>6</v>
      </c>
      <c r="F42" s="4">
        <v>31522</v>
      </c>
      <c r="G42" s="4">
        <f t="shared" si="0"/>
        <v>189132</v>
      </c>
      <c r="H42" s="4">
        <f t="shared" si="1"/>
        <v>9456.6</v>
      </c>
      <c r="I42" s="4">
        <f t="shared" si="2"/>
        <v>179675.4</v>
      </c>
    </row>
    <row r="43" spans="1:9">
      <c r="A43" s="4">
        <v>42</v>
      </c>
      <c r="B43" s="5">
        <v>45735</v>
      </c>
      <c r="C43" s="4" t="s">
        <v>24</v>
      </c>
      <c r="D43" s="4" t="s">
        <v>12</v>
      </c>
      <c r="E43" s="4">
        <v>7</v>
      </c>
      <c r="F43" s="4">
        <v>27356</v>
      </c>
      <c r="G43" s="4">
        <f t="shared" si="0"/>
        <v>191492</v>
      </c>
      <c r="H43" s="4">
        <f t="shared" si="1"/>
        <v>9574.6</v>
      </c>
      <c r="I43" s="4">
        <f t="shared" si="2"/>
        <v>181917.4</v>
      </c>
    </row>
    <row r="44" spans="1:9">
      <c r="A44" s="4">
        <v>43</v>
      </c>
      <c r="B44" s="5">
        <v>45722</v>
      </c>
      <c r="C44" s="4" t="s">
        <v>14</v>
      </c>
      <c r="D44" s="4" t="s">
        <v>21</v>
      </c>
      <c r="E44" s="4">
        <v>5</v>
      </c>
      <c r="F44" s="4">
        <v>40590</v>
      </c>
      <c r="G44" s="4">
        <f t="shared" si="0"/>
        <v>202950</v>
      </c>
      <c r="H44" s="4">
        <f t="shared" si="1"/>
        <v>10147.5</v>
      </c>
      <c r="I44" s="4">
        <f t="shared" si="2"/>
        <v>192802.5</v>
      </c>
    </row>
    <row r="45" spans="1:9">
      <c r="A45" s="4">
        <v>44</v>
      </c>
      <c r="B45" s="5">
        <v>45918</v>
      </c>
      <c r="C45" s="4" t="s">
        <v>19</v>
      </c>
      <c r="D45" s="4" t="s">
        <v>29</v>
      </c>
      <c r="E45" s="4">
        <v>7</v>
      </c>
      <c r="F45" s="4">
        <v>31140</v>
      </c>
      <c r="G45" s="4">
        <f t="shared" si="0"/>
        <v>217980</v>
      </c>
      <c r="H45" s="4">
        <f t="shared" si="1"/>
        <v>10899</v>
      </c>
      <c r="I45" s="4">
        <f t="shared" si="2"/>
        <v>207081</v>
      </c>
    </row>
    <row r="46" spans="1:9">
      <c r="A46" s="4">
        <v>45</v>
      </c>
      <c r="B46" s="5">
        <v>45832</v>
      </c>
      <c r="C46" s="4" t="s">
        <v>17</v>
      </c>
      <c r="D46" s="4" t="s">
        <v>26</v>
      </c>
      <c r="E46" s="4">
        <v>5</v>
      </c>
      <c r="F46" s="4">
        <v>43671</v>
      </c>
      <c r="G46" s="4">
        <f t="shared" si="0"/>
        <v>218355</v>
      </c>
      <c r="H46" s="4">
        <f t="shared" si="1"/>
        <v>10917.75</v>
      </c>
      <c r="I46" s="4">
        <f t="shared" si="2"/>
        <v>207437.25</v>
      </c>
    </row>
    <row r="47" spans="1:9">
      <c r="A47" s="4">
        <v>46</v>
      </c>
      <c r="B47" s="5">
        <v>45727</v>
      </c>
      <c r="C47" s="4" t="s">
        <v>8</v>
      </c>
      <c r="D47" s="4" t="s">
        <v>21</v>
      </c>
      <c r="E47" s="4">
        <v>7</v>
      </c>
      <c r="F47" s="4">
        <v>32236</v>
      </c>
      <c r="G47" s="4">
        <f t="shared" si="0"/>
        <v>225652</v>
      </c>
      <c r="H47" s="4">
        <f t="shared" si="1"/>
        <v>11282.6</v>
      </c>
      <c r="I47" s="4">
        <f t="shared" si="2"/>
        <v>214369.4</v>
      </c>
    </row>
    <row r="48" spans="1:9">
      <c r="A48" s="4">
        <v>47</v>
      </c>
      <c r="B48" s="5">
        <v>45901</v>
      </c>
      <c r="C48" s="4" t="s">
        <v>32</v>
      </c>
      <c r="D48" s="4" t="s">
        <v>29</v>
      </c>
      <c r="E48" s="4">
        <v>8</v>
      </c>
      <c r="F48" s="4">
        <v>34169</v>
      </c>
      <c r="G48" s="4">
        <f t="shared" si="0"/>
        <v>273352</v>
      </c>
      <c r="H48" s="4">
        <f t="shared" si="1"/>
        <v>13667.6</v>
      </c>
      <c r="I48" s="4">
        <f t="shared" si="2"/>
        <v>259684.4</v>
      </c>
    </row>
    <row r="49" spans="1:9">
      <c r="A49" s="4">
        <v>48</v>
      </c>
      <c r="B49" s="5">
        <v>45671</v>
      </c>
      <c r="C49" s="4" t="s">
        <v>19</v>
      </c>
      <c r="D49" s="4" t="s">
        <v>29</v>
      </c>
      <c r="E49" s="4">
        <v>10</v>
      </c>
      <c r="F49" s="4">
        <v>32061</v>
      </c>
      <c r="G49" s="4">
        <f t="shared" si="0"/>
        <v>320610</v>
      </c>
      <c r="H49" s="4">
        <f t="shared" si="1"/>
        <v>16030.5</v>
      </c>
      <c r="I49" s="4">
        <f t="shared" si="2"/>
        <v>304579.5</v>
      </c>
    </row>
    <row r="50" spans="1:9">
      <c r="A50" s="4">
        <v>49</v>
      </c>
      <c r="B50" s="5">
        <v>45754</v>
      </c>
      <c r="C50" s="4" t="s">
        <v>24</v>
      </c>
      <c r="D50" s="4" t="s">
        <v>9</v>
      </c>
      <c r="E50" s="4">
        <v>9</v>
      </c>
      <c r="F50" s="4">
        <v>44080</v>
      </c>
      <c r="G50" s="4">
        <f t="shared" si="0"/>
        <v>396720</v>
      </c>
      <c r="H50" s="4">
        <f t="shared" si="1"/>
        <v>19836</v>
      </c>
      <c r="I50" s="4">
        <f t="shared" si="2"/>
        <v>376884</v>
      </c>
    </row>
    <row r="51" spans="1:9">
      <c r="A51" s="4">
        <v>50</v>
      </c>
      <c r="B51" s="5">
        <v>45884</v>
      </c>
      <c r="C51" s="4" t="s">
        <v>8</v>
      </c>
      <c r="D51" s="4" t="s">
        <v>15</v>
      </c>
      <c r="E51" s="4">
        <v>10</v>
      </c>
      <c r="F51" s="4">
        <v>48992</v>
      </c>
      <c r="G51" s="4">
        <f t="shared" si="0"/>
        <v>489920</v>
      </c>
      <c r="H51" s="4">
        <f t="shared" si="1"/>
        <v>24496</v>
      </c>
      <c r="I51" s="4">
        <f t="shared" si="2"/>
        <v>465424</v>
      </c>
    </row>
  </sheetData>
  <pageMargins left="0.7" right="0.7" top="0.75" bottom="0.75" header="0.3" footer="0.3"/>
  <pageSetup scale="83" fitToHeight="0" orientation="portrait" r:id="rId1"/>
  <headerFooter>
    <oddHeader xml:space="preserve">&amp;C&amp;G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Sumit Maurya</cp:lastModifiedBy>
  <cp:lastPrinted>2026-04-29T03:54:55Z</cp:lastPrinted>
  <dcterms:created xsi:type="dcterms:W3CDTF">2025-10-22T11:40:13Z</dcterms:created>
  <dcterms:modified xsi:type="dcterms:W3CDTF">2026-04-29T03:55:36Z</dcterms:modified>
</cp:coreProperties>
</file>